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ownloads\"/>
    </mc:Choice>
  </mc:AlternateContent>
  <xr:revisionPtr revIDLastSave="0" documentId="13_ncr:1_{55DCBE79-FF10-4090-8736-49485309081B}" xr6:coauthVersionLast="47" xr6:coauthVersionMax="47" xr10:uidLastSave="{00000000-0000-0000-0000-000000000000}"/>
  <bookViews>
    <workbookView xWindow="384" yWindow="384" windowWidth="15216" windowHeight="12240" xr2:uid="{00000000-000D-0000-FFFF-FFFF00000000}"/>
  </bookViews>
  <sheets>
    <sheet name="Заказ SELL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2" i="1"/>
</calcChain>
</file>

<file path=xl/sharedStrings.xml><?xml version="1.0" encoding="utf-8"?>
<sst xmlns="http://schemas.openxmlformats.org/spreadsheetml/2006/main" count="1242" uniqueCount="392">
  <si>
    <t>Артикул</t>
  </si>
  <si>
    <t>Наименование</t>
  </si>
  <si>
    <t>Группа</t>
  </si>
  <si>
    <t>Ед. изм.</t>
  </si>
  <si>
    <t>Дата поставки</t>
  </si>
  <si>
    <t>Склад</t>
  </si>
  <si>
    <t>Заказано</t>
  </si>
  <si>
    <t>Отправлено</t>
  </si>
  <si>
    <t>Доставлено</t>
  </si>
  <si>
    <t>Заказ №</t>
  </si>
  <si>
    <t>F00002272</t>
  </si>
  <si>
    <t>Батончик шоколадный с карамелью и арахисом</t>
  </si>
  <si>
    <t>ВКУСНЯШКИ</t>
  </si>
  <si>
    <t>шт</t>
  </si>
  <si>
    <t>27.02.2026</t>
  </si>
  <si>
    <t>Лассио Магазин</t>
  </si>
  <si>
    <t>12729 - Статус COMPLETED</t>
  </si>
  <si>
    <t>F00002273</t>
  </si>
  <si>
    <t>Батончик шоколадный с кокосом</t>
  </si>
  <si>
    <t>F00001646</t>
  </si>
  <si>
    <t>Драже "Кешью в шоколаде"</t>
  </si>
  <si>
    <t>F00001648</t>
  </si>
  <si>
    <t>Драже "Миндаль в шоколаде"</t>
  </si>
  <si>
    <t>F00001639</t>
  </si>
  <si>
    <t>Попкорн шоколадный</t>
  </si>
  <si>
    <t>F00002296</t>
  </si>
  <si>
    <t>Трубочка со сгущенкой</t>
  </si>
  <si>
    <t>F00002278</t>
  </si>
  <si>
    <t>Шоколад Сафия с карамелью и арахисом</t>
  </si>
  <si>
    <t>F00000563</t>
  </si>
  <si>
    <t>Яблочный джем</t>
  </si>
  <si>
    <t>F00002151</t>
  </si>
  <si>
    <t>Имбирный пряник Реал Мадрид</t>
  </si>
  <si>
    <t>ИМБИРНЫЕ</t>
  </si>
  <si>
    <t>F00000511</t>
  </si>
  <si>
    <t>ПП Батончик класический</t>
  </si>
  <si>
    <t>F00000512</t>
  </si>
  <si>
    <t>ПП Батончик шоколадный</t>
  </si>
  <si>
    <t>F00002274</t>
  </si>
  <si>
    <t>Кекс Апельсиновый шт</t>
  </si>
  <si>
    <t>КЕКС и ПОПС</t>
  </si>
  <si>
    <t>F00002045</t>
  </si>
  <si>
    <t>Маффин шоколадный с вишней</t>
  </si>
  <si>
    <t>F00002329</t>
  </si>
  <si>
    <t>Мадлен классический</t>
  </si>
  <si>
    <t>ПЕЧЕНЬЕ</t>
  </si>
  <si>
    <t>F00002284</t>
  </si>
  <si>
    <t>Печенье "Карамельное"</t>
  </si>
  <si>
    <t>F00002246</t>
  </si>
  <si>
    <t>Печенье Палочки в упаковке</t>
  </si>
  <si>
    <t>F00002275</t>
  </si>
  <si>
    <t>Печенье "Подушечки" в мини упаковке</t>
  </si>
  <si>
    <t>F00002260</t>
  </si>
  <si>
    <t>Печенье "Подушечки" в упаковке</t>
  </si>
  <si>
    <t>F00002287</t>
  </si>
  <si>
    <t>Печенья "Браун"</t>
  </si>
  <si>
    <t>F00002247</t>
  </si>
  <si>
    <t>Баунти сет Б</t>
  </si>
  <si>
    <t>ПЕЧЕНЬЕ СЕТЫ В ПАКЕТЕ</t>
  </si>
  <si>
    <t>F00002249</t>
  </si>
  <si>
    <t>Бисконти сет Б</t>
  </si>
  <si>
    <t>F00002257</t>
  </si>
  <si>
    <t>Кунжут сет Б</t>
  </si>
  <si>
    <t>F00002256</t>
  </si>
  <si>
    <t>Лимон сет Б</t>
  </si>
  <si>
    <t>F00002251</t>
  </si>
  <si>
    <t>Мазурки сет Б 0,2кг</t>
  </si>
  <si>
    <t>F00002252</t>
  </si>
  <si>
    <t>Мезуми сет Б 200 гр</t>
  </si>
  <si>
    <t>F00001904</t>
  </si>
  <si>
    <t>Печенье Бананчики в упаковке</t>
  </si>
  <si>
    <t>F00002254</t>
  </si>
  <si>
    <t>Сушки сет Б</t>
  </si>
  <si>
    <t>F00002255</t>
  </si>
  <si>
    <t>Шрек сет Б</t>
  </si>
  <si>
    <t>F00001527</t>
  </si>
  <si>
    <t>Ореховый батончик энергетический</t>
  </si>
  <si>
    <t>ПП НОВИНКА</t>
  </si>
  <si>
    <t>F00002281</t>
  </si>
  <si>
    <t>Баунти мини печенье сет</t>
  </si>
  <si>
    <t>СЕТЫ САФИЯ</t>
  </si>
  <si>
    <t>F00001006</t>
  </si>
  <si>
    <t>Гречневые хлебцы мини сет (200гр)</t>
  </si>
  <si>
    <t>F00002290</t>
  </si>
  <si>
    <t>Гриссини в упаковке</t>
  </si>
  <si>
    <t>F00002553</t>
  </si>
  <si>
    <t>Гриссини с орегано</t>
  </si>
  <si>
    <t>F00002552</t>
  </si>
  <si>
    <t>Гриссини с томатами</t>
  </si>
  <si>
    <t>F00002248</t>
  </si>
  <si>
    <t>Кукес печенье мини сет</t>
  </si>
  <si>
    <t>F00001654</t>
  </si>
  <si>
    <t>Курабье печенье Сет 0,25</t>
  </si>
  <si>
    <t>F00002291</t>
  </si>
  <si>
    <t>Лочира мини сет</t>
  </si>
  <si>
    <t>F00001689</t>
  </si>
  <si>
    <t>Луна печенье Сет 0,25</t>
  </si>
  <si>
    <t>F00002288</t>
  </si>
  <si>
    <t>Мармелад сет</t>
  </si>
  <si>
    <t>F00002286</t>
  </si>
  <si>
    <t>Овсянка мини печенье сет</t>
  </si>
  <si>
    <t>F00001655</t>
  </si>
  <si>
    <t>Ракушки печенье Сет 0,2</t>
  </si>
  <si>
    <t>F00001656</t>
  </si>
  <si>
    <t>Ракушки печенье Сет 0,5</t>
  </si>
  <si>
    <t>F00001054</t>
  </si>
  <si>
    <t>Рисовые хлебцы мини сет (200гр)</t>
  </si>
  <si>
    <t>F00001660</t>
  </si>
  <si>
    <t>Рогалики с вишней Сет 0,2</t>
  </si>
  <si>
    <t>F00001661</t>
  </si>
  <si>
    <t>Рогалики с вишней Сет 0,5</t>
  </si>
  <si>
    <t>F00001662</t>
  </si>
  <si>
    <t>Рогалики с орехом Сет</t>
  </si>
  <si>
    <t>F00001663</t>
  </si>
  <si>
    <t>Рогалики со сгушенкой Сет 0,2</t>
  </si>
  <si>
    <t>F00001664</t>
  </si>
  <si>
    <t>Рогалики со сгушенкой Сет 0,5</t>
  </si>
  <si>
    <t>F00002292</t>
  </si>
  <si>
    <t>Сушки мини сет</t>
  </si>
  <si>
    <t>F00001193</t>
  </si>
  <si>
    <t>Туграма чак-чак (мини коробка)</t>
  </si>
  <si>
    <t>F00001683</t>
  </si>
  <si>
    <t>Турецкая пахлава мини сет</t>
  </si>
  <si>
    <t>F00002299</t>
  </si>
  <si>
    <t>Муравейник</t>
  </si>
  <si>
    <t>ЧАК-ЧАК и ШТУЧНЫЕ</t>
  </si>
  <si>
    <t>F00002240</t>
  </si>
  <si>
    <t>Ёжик картошка</t>
  </si>
  <si>
    <t>КАРТОШКА</t>
  </si>
  <si>
    <t>12730 - Статус COMPLETED</t>
  </si>
  <si>
    <t>F00001238</t>
  </si>
  <si>
    <t>Макаронс Ванильный шт</t>
  </si>
  <si>
    <t>МАКАРОНСЫ</t>
  </si>
  <si>
    <t>F00001239</t>
  </si>
  <si>
    <t>Макаронс Фисташковый шт</t>
  </si>
  <si>
    <t>F00001695</t>
  </si>
  <si>
    <t>Макаронсы в упаковке 10 шт</t>
  </si>
  <si>
    <t>F00001241</t>
  </si>
  <si>
    <t>Макаронс Экзотик шт</t>
  </si>
  <si>
    <t>F00000420</t>
  </si>
  <si>
    <t>Апельсинка мини пироженое</t>
  </si>
  <si>
    <t>ПИРОЖЕНОЕ МИНИ</t>
  </si>
  <si>
    <t>F00000424</t>
  </si>
  <si>
    <t>Карамелька мини пироженое</t>
  </si>
  <si>
    <t>F00000425</t>
  </si>
  <si>
    <t>Три шоколада мини пироженое</t>
  </si>
  <si>
    <t>F00000419</t>
  </si>
  <si>
    <t>Фламинго мини пироженое</t>
  </si>
  <si>
    <t>F00000300</t>
  </si>
  <si>
    <t>Шоколадный кекс мини</t>
  </si>
  <si>
    <t>F00000427</t>
  </si>
  <si>
    <t>Экзот мини пироженое</t>
  </si>
  <si>
    <t>F00000358</t>
  </si>
  <si>
    <t>Берри кейк пирожное</t>
  </si>
  <si>
    <t>ПИРОЖНОЕ</t>
  </si>
  <si>
    <t>F00000363</t>
  </si>
  <si>
    <t>Винни детское пирожное</t>
  </si>
  <si>
    <t>F00000368</t>
  </si>
  <si>
    <t>Детское пирожное Мишка</t>
  </si>
  <si>
    <t>F00000369</t>
  </si>
  <si>
    <t>Джульетта рулет кусок</t>
  </si>
  <si>
    <t>F00000408</t>
  </si>
  <si>
    <t>Ириска рулет кусок</t>
  </si>
  <si>
    <t>F00001653</t>
  </si>
  <si>
    <t>Медовый стакан</t>
  </si>
  <si>
    <t>F00001225</t>
  </si>
  <si>
    <t>Пирог Малиново - фруктовый кусок</t>
  </si>
  <si>
    <t>F00002120</t>
  </si>
  <si>
    <t>Пирожное Вафельное</t>
  </si>
  <si>
    <t>F00001158</t>
  </si>
  <si>
    <t>Пирожное-макаронс "Сникерс"</t>
  </si>
  <si>
    <t>F00001159</t>
  </si>
  <si>
    <t>Пирожное-макаронс "Чизкейк"</t>
  </si>
  <si>
    <t>F00002033</t>
  </si>
  <si>
    <t>Пирожное Меренговый</t>
  </si>
  <si>
    <t>F00002034</t>
  </si>
  <si>
    <t>Пирожное Меренговый с фисташками</t>
  </si>
  <si>
    <t>F00002153</t>
  </si>
  <si>
    <t>Пирожное Три шоколада</t>
  </si>
  <si>
    <t>F00001908</t>
  </si>
  <si>
    <t>Пирожное Фисташка-клубника</t>
  </si>
  <si>
    <t>F00001887</t>
  </si>
  <si>
    <t>Пирожное Фисташково-малиновое</t>
  </si>
  <si>
    <t>F00000389</t>
  </si>
  <si>
    <t>Сникерс пирожное</t>
  </si>
  <si>
    <t>F00000808</t>
  </si>
  <si>
    <t>Сникерс рулет кусок</t>
  </si>
  <si>
    <t>F00000390</t>
  </si>
  <si>
    <t>Тирамису пирожное</t>
  </si>
  <si>
    <t>F00000430</t>
  </si>
  <si>
    <t>Ягодная опера пироженое</t>
  </si>
  <si>
    <t>F00000405</t>
  </si>
  <si>
    <t>Ягодный лабне пирож</t>
  </si>
  <si>
    <t>F00000385</t>
  </si>
  <si>
    <t>Картошка ПП</t>
  </si>
  <si>
    <t>Пирожное ПП</t>
  </si>
  <si>
    <t>F00000378</t>
  </si>
  <si>
    <t>Медовое пирожное ПП</t>
  </si>
  <si>
    <t>F00000381</t>
  </si>
  <si>
    <t>Наполеон пирожное ПП</t>
  </si>
  <si>
    <t>F00001515</t>
  </si>
  <si>
    <t>ПП Пирожное Птичье молоко</t>
  </si>
  <si>
    <t>F00001582</t>
  </si>
  <si>
    <t>ПП Пирожное Сникерс</t>
  </si>
  <si>
    <t>F00001516</t>
  </si>
  <si>
    <t>ПП Сан-Себастьян чизкейк</t>
  </si>
  <si>
    <t>F00000543</t>
  </si>
  <si>
    <t>Медовый чизкейк</t>
  </si>
  <si>
    <t>ЧИЗКЕЙК</t>
  </si>
  <si>
    <t>F00000544</t>
  </si>
  <si>
    <t>Нью Йорк чизкейк</t>
  </si>
  <si>
    <t>F00001375</t>
  </si>
  <si>
    <t>Сан-себастьян Тирамису</t>
  </si>
  <si>
    <t>F00000548</t>
  </si>
  <si>
    <t>Сан-Себастьян чизкейк</t>
  </si>
  <si>
    <t>F00001376</t>
  </si>
  <si>
    <t>Сан-себастьян Шоколадный</t>
  </si>
  <si>
    <t>F00000558</t>
  </si>
  <si>
    <t>Экзотик чизкейк</t>
  </si>
  <si>
    <t>F00000433</t>
  </si>
  <si>
    <t>Эклер ванильный с малиной</t>
  </si>
  <si>
    <t>ШТУЧНЫЕ ЭКЛЕРЫ</t>
  </si>
  <si>
    <t>F00001964</t>
  </si>
  <si>
    <t>Эклер Лотус-карамель</t>
  </si>
  <si>
    <t>F00000447</t>
  </si>
  <si>
    <t>Эклер рафаэлло</t>
  </si>
  <si>
    <t>F00000450</t>
  </si>
  <si>
    <t>Эклер тирамису</t>
  </si>
  <si>
    <t>F00001965</t>
  </si>
  <si>
    <t>Эклер Шоколад-Нутелла</t>
  </si>
  <si>
    <t>F00001676</t>
  </si>
  <si>
    <t>Картошка мал (ромбик)</t>
  </si>
  <si>
    <t>12731 - Статус COMPLETED</t>
  </si>
  <si>
    <t>F00001675</t>
  </si>
  <si>
    <t>Картошка пирожное</t>
  </si>
  <si>
    <t>F00001674</t>
  </si>
  <si>
    <t>Картошка шок.батончик</t>
  </si>
  <si>
    <t>F00002241</t>
  </si>
  <si>
    <t>Вишневый кекс new</t>
  </si>
  <si>
    <t>F00000126</t>
  </si>
  <si>
    <t>Бакинская пахлава прямоугольный</t>
  </si>
  <si>
    <t>ПИРОГИ</t>
  </si>
  <si>
    <t>F00000473</t>
  </si>
  <si>
    <t>Мишка пирог</t>
  </si>
  <si>
    <t>F00000781</t>
  </si>
  <si>
    <t>Нагетсы (12 шт) Кз</t>
  </si>
  <si>
    <t>ПОЛУФАБРИКАТЫ</t>
  </si>
  <si>
    <t>F00002265</t>
  </si>
  <si>
    <t>Пельмени Говяжьи Кз</t>
  </si>
  <si>
    <t>F00002266</t>
  </si>
  <si>
    <t>Пельмени из Баранины Кз</t>
  </si>
  <si>
    <t>F00002268</t>
  </si>
  <si>
    <t>Сырники 8шт Кз</t>
  </si>
  <si>
    <t>F00002293</t>
  </si>
  <si>
    <t>Буше Ассорти</t>
  </si>
  <si>
    <t>F00001671</t>
  </si>
  <si>
    <t xml:space="preserve">Буше шоколадный мини сет </t>
  </si>
  <si>
    <t>F00001678</t>
  </si>
  <si>
    <t>Маленький эклер большой сет</t>
  </si>
  <si>
    <t>F00001679</t>
  </si>
  <si>
    <t>Маленький эклер мини сет</t>
  </si>
  <si>
    <t>F00001681</t>
  </si>
  <si>
    <t>Мини трубочка большой сет</t>
  </si>
  <si>
    <t>F00001682</t>
  </si>
  <si>
    <t>Мини трубочка мини сет</t>
  </si>
  <si>
    <t>F00001684</t>
  </si>
  <si>
    <t>Цветной эклер большой сет</t>
  </si>
  <si>
    <t>F00001687</t>
  </si>
  <si>
    <t>Шок палочка большой сет</t>
  </si>
  <si>
    <t>F00001688</t>
  </si>
  <si>
    <t>Шок палочка мини сет</t>
  </si>
  <si>
    <t>F00002294</t>
  </si>
  <si>
    <t>Эклеры ассорти в мини упаковке</t>
  </si>
  <si>
    <t>F00002295</t>
  </si>
  <si>
    <t>Эклеры ассорти в упаковке</t>
  </si>
  <si>
    <t>F00000529</t>
  </si>
  <si>
    <t>Блэк форест тарталетка</t>
  </si>
  <si>
    <t>ТАРТАЛЕТКИ</t>
  </si>
  <si>
    <t>F00001659</t>
  </si>
  <si>
    <t>Вольтер мини</t>
  </si>
  <si>
    <t>F00001665</t>
  </si>
  <si>
    <t>Мини тарталетки</t>
  </si>
  <si>
    <t>F00001686</t>
  </si>
  <si>
    <t>Шок мини тарталетка</t>
  </si>
  <si>
    <t>F00000927</t>
  </si>
  <si>
    <t>Бородинский хлеб</t>
  </si>
  <si>
    <t>Хлеба Австрии</t>
  </si>
  <si>
    <t>F00000946</t>
  </si>
  <si>
    <t>Спорт Актив хлеб</t>
  </si>
  <si>
    <t>F00002301</t>
  </si>
  <si>
    <t>Хлеб Славянский аромат мини</t>
  </si>
  <si>
    <t>F00002300</t>
  </si>
  <si>
    <t>Хлеб Тартин мини</t>
  </si>
  <si>
    <t>F00000004</t>
  </si>
  <si>
    <t>Адмирал торт круглый</t>
  </si>
  <si>
    <t>КРУГЛЫЕ ТОРТЫ</t>
  </si>
  <si>
    <t>12732 - Статус COMPLETED</t>
  </si>
  <si>
    <t>F00000814</t>
  </si>
  <si>
    <t>Баунти торт круг</t>
  </si>
  <si>
    <t>F00000028</t>
  </si>
  <si>
    <t>Верона стандартный торт</t>
  </si>
  <si>
    <t>F00000034</t>
  </si>
  <si>
    <t>Джульета new</t>
  </si>
  <si>
    <t>F00000035</t>
  </si>
  <si>
    <t>Ириска торт</t>
  </si>
  <si>
    <t>F00000816</t>
  </si>
  <si>
    <t>Карамельный медовый торт круг</t>
  </si>
  <si>
    <t>F00000041</t>
  </si>
  <si>
    <t>Клубничный торт Корзинка</t>
  </si>
  <si>
    <t>F00000489</t>
  </si>
  <si>
    <t>Меренговый Рулет большой</t>
  </si>
  <si>
    <t>F00000067</t>
  </si>
  <si>
    <t>Микс торт круглый</t>
  </si>
  <si>
    <t>F00000077</t>
  </si>
  <si>
    <t>Мороженко торт</t>
  </si>
  <si>
    <t>F00000097</t>
  </si>
  <si>
    <t>Рафаэлло торт</t>
  </si>
  <si>
    <t>F00000098</t>
  </si>
  <si>
    <t>Роше торт</t>
  </si>
  <si>
    <t>F00000490</t>
  </si>
  <si>
    <t>Сказка Рулет NEW</t>
  </si>
  <si>
    <t>F00000049</t>
  </si>
  <si>
    <t>Сникерс торт круглый</t>
  </si>
  <si>
    <t>F00001909</t>
  </si>
  <si>
    <t>Торт Барби</t>
  </si>
  <si>
    <t>F00002586</t>
  </si>
  <si>
    <t>Торт Блэк Форест</t>
  </si>
  <si>
    <t>F00001566</t>
  </si>
  <si>
    <t>Торт Браво</t>
  </si>
  <si>
    <t>F00001143</t>
  </si>
  <si>
    <t>Торт Джульетта оформленный</t>
  </si>
  <si>
    <t>F00002562</t>
  </si>
  <si>
    <t>Торт Мишка</t>
  </si>
  <si>
    <t>F00000825</t>
  </si>
  <si>
    <t>Торт Молочная девочка</t>
  </si>
  <si>
    <t>F00001398</t>
  </si>
  <si>
    <t>Торт Радуга шоколадная</t>
  </si>
  <si>
    <t>F00001139</t>
  </si>
  <si>
    <t>Торт Сафия бежевый</t>
  </si>
  <si>
    <t>F00000103</t>
  </si>
  <si>
    <t>Торт Сафия розовый</t>
  </si>
  <si>
    <t>F00002561</t>
  </si>
  <si>
    <t>Торт Стич</t>
  </si>
  <si>
    <t>F00000837</t>
  </si>
  <si>
    <t>Фисташковый меренговый рулет</t>
  </si>
  <si>
    <t>F00000122</t>
  </si>
  <si>
    <t>Фруктовый торт круглый</t>
  </si>
  <si>
    <t>F00000001</t>
  </si>
  <si>
    <t>Черный принц торт круглый</t>
  </si>
  <si>
    <t>F00001121</t>
  </si>
  <si>
    <t>Шок банан круг</t>
  </si>
  <si>
    <t>F00000052</t>
  </si>
  <si>
    <t>Шок малиновый торт круглый</t>
  </si>
  <si>
    <t>F00000118</t>
  </si>
  <si>
    <t>Ягодно - творожный торт NEW</t>
  </si>
  <si>
    <t>F00000024</t>
  </si>
  <si>
    <t>Бери кейк мини торт</t>
  </si>
  <si>
    <t>Круглые торты мини</t>
  </si>
  <si>
    <t>F00000045</t>
  </si>
  <si>
    <t>Кофе тоффи мини торт</t>
  </si>
  <si>
    <t>F00000015</t>
  </si>
  <si>
    <t>Лесной орех мини торт</t>
  </si>
  <si>
    <t>F00000063</t>
  </si>
  <si>
    <t>Медовый milk slice мини торт</t>
  </si>
  <si>
    <t>F00000069</t>
  </si>
  <si>
    <t>Рафаэлло торт мини</t>
  </si>
  <si>
    <t>F00000109</t>
  </si>
  <si>
    <t>Тирамису мини торт</t>
  </si>
  <si>
    <t>F00000007</t>
  </si>
  <si>
    <t>Шок Банан мини торт</t>
  </si>
  <si>
    <t>F00000020</t>
  </si>
  <si>
    <t>Афганка New торт</t>
  </si>
  <si>
    <t>ПРЯМОУГОЛЬНЫЕ ТОРТЫ</t>
  </si>
  <si>
    <t>F00000090</t>
  </si>
  <si>
    <t>Карамельный медовый прямоуг торт</t>
  </si>
  <si>
    <t>F00000056</t>
  </si>
  <si>
    <t>Лимонный New Торт</t>
  </si>
  <si>
    <t>F00002587</t>
  </si>
  <si>
    <t>Махровый прямоугольный торт</t>
  </si>
  <si>
    <t>F00000819</t>
  </si>
  <si>
    <t>Микадо торт прямоугольный</t>
  </si>
  <si>
    <t>F00000080</t>
  </si>
  <si>
    <t>Ореховый медовый New Торт</t>
  </si>
  <si>
    <t>F00000111</t>
  </si>
  <si>
    <t>Фруктовый New торт прямоугольный</t>
  </si>
  <si>
    <t>F00000123</t>
  </si>
  <si>
    <t>Фруктовый торт прямоугольный</t>
  </si>
  <si>
    <t>F00000114</t>
  </si>
  <si>
    <t>Шок медовый торт</t>
  </si>
  <si>
    <t>F00000524</t>
  </si>
  <si>
    <t>Вишенка тарт</t>
  </si>
  <si>
    <t>ТАРТ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</si>
</sst>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ders_27.02.2026_27.02.2026_sel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каз SELLS"/>
      <sheetName val="Лист1"/>
    </sheetNames>
    <sheetDataSet>
      <sheetData sheetId="0">
        <row r="1">
          <cell r="A1" t="str">
            <v>Артикул</v>
          </cell>
          <cell r="D1" t="str">
            <v>Доставлено</v>
          </cell>
        </row>
        <row r="2">
          <cell r="A2" t="str">
            <v>F00000004</v>
          </cell>
          <cell r="D2">
            <v>1</v>
          </cell>
        </row>
        <row r="3">
          <cell r="A3" t="str">
            <v>F00000814</v>
          </cell>
          <cell r="D3">
            <v>0</v>
          </cell>
        </row>
        <row r="4">
          <cell r="A4" t="str">
            <v>F00000028</v>
          </cell>
          <cell r="D4">
            <v>0</v>
          </cell>
        </row>
        <row r="5">
          <cell r="A5" t="str">
            <v>F00000034</v>
          </cell>
          <cell r="D5">
            <v>0</v>
          </cell>
        </row>
        <row r="6">
          <cell r="A6" t="str">
            <v>F00000035</v>
          </cell>
          <cell r="D6">
            <v>1</v>
          </cell>
        </row>
        <row r="7">
          <cell r="A7" t="str">
            <v>F00000816</v>
          </cell>
          <cell r="D7">
            <v>1</v>
          </cell>
        </row>
        <row r="8">
          <cell r="A8" t="str">
            <v>F00000041</v>
          </cell>
          <cell r="D8">
            <v>0</v>
          </cell>
        </row>
        <row r="9">
          <cell r="A9" t="str">
            <v>F00000489</v>
          </cell>
          <cell r="D9">
            <v>4</v>
          </cell>
        </row>
        <row r="10">
          <cell r="A10" t="str">
            <v>F00000067</v>
          </cell>
          <cell r="D10">
            <v>1</v>
          </cell>
        </row>
        <row r="11">
          <cell r="A11" t="str">
            <v>F00000077</v>
          </cell>
          <cell r="D11">
            <v>1</v>
          </cell>
        </row>
        <row r="12">
          <cell r="A12" t="str">
            <v>F00000097</v>
          </cell>
          <cell r="D12">
            <v>1</v>
          </cell>
        </row>
        <row r="13">
          <cell r="A13" t="str">
            <v>F00000098</v>
          </cell>
          <cell r="D13">
            <v>2</v>
          </cell>
        </row>
        <row r="14">
          <cell r="A14" t="str">
            <v>F00000490</v>
          </cell>
          <cell r="D14">
            <v>1</v>
          </cell>
        </row>
        <row r="15">
          <cell r="A15" t="str">
            <v>F00000049</v>
          </cell>
          <cell r="D15">
            <v>0</v>
          </cell>
        </row>
        <row r="16">
          <cell r="A16" t="str">
            <v>F00001909</v>
          </cell>
          <cell r="D16">
            <v>1</v>
          </cell>
        </row>
        <row r="17">
          <cell r="A17" t="str">
            <v>F00002586</v>
          </cell>
          <cell r="D17">
            <v>0</v>
          </cell>
        </row>
        <row r="18">
          <cell r="A18" t="str">
            <v>F00001566</v>
          </cell>
          <cell r="D18">
            <v>0</v>
          </cell>
        </row>
        <row r="19">
          <cell r="A19" t="str">
            <v>F00001143</v>
          </cell>
          <cell r="D19">
            <v>0</v>
          </cell>
        </row>
        <row r="20">
          <cell r="A20" t="str">
            <v>F00002562</v>
          </cell>
          <cell r="D20">
            <v>0</v>
          </cell>
        </row>
        <row r="21">
          <cell r="A21" t="str">
            <v>F00000825</v>
          </cell>
          <cell r="D21">
            <v>3</v>
          </cell>
        </row>
        <row r="22">
          <cell r="A22" t="str">
            <v>F00001398</v>
          </cell>
          <cell r="D22">
            <v>1</v>
          </cell>
        </row>
        <row r="23">
          <cell r="A23" t="str">
            <v>F00001139</v>
          </cell>
          <cell r="D23">
            <v>0</v>
          </cell>
        </row>
        <row r="24">
          <cell r="A24" t="str">
            <v>F00000103</v>
          </cell>
          <cell r="D24">
            <v>0</v>
          </cell>
        </row>
        <row r="25">
          <cell r="A25" t="str">
            <v>F00002561</v>
          </cell>
          <cell r="D25">
            <v>0</v>
          </cell>
        </row>
        <row r="26">
          <cell r="A26" t="str">
            <v>F00000837</v>
          </cell>
          <cell r="D26">
            <v>8</v>
          </cell>
        </row>
        <row r="27">
          <cell r="A27" t="str">
            <v>F00000122</v>
          </cell>
          <cell r="D27">
            <v>0</v>
          </cell>
        </row>
        <row r="28">
          <cell r="A28" t="str">
            <v>F00000001</v>
          </cell>
          <cell r="D28">
            <v>0</v>
          </cell>
        </row>
        <row r="29">
          <cell r="A29" t="str">
            <v>F00001121</v>
          </cell>
          <cell r="D29">
            <v>0</v>
          </cell>
        </row>
        <row r="30">
          <cell r="A30" t="str">
            <v>F00000052</v>
          </cell>
          <cell r="D30">
            <v>2</v>
          </cell>
        </row>
        <row r="31">
          <cell r="A31" t="str">
            <v>F00000118</v>
          </cell>
          <cell r="D31">
            <v>6</v>
          </cell>
        </row>
        <row r="32">
          <cell r="A32" t="str">
            <v>F00000024</v>
          </cell>
          <cell r="D32">
            <v>2</v>
          </cell>
        </row>
        <row r="33">
          <cell r="A33" t="str">
            <v>F00000045</v>
          </cell>
          <cell r="D33">
            <v>0</v>
          </cell>
        </row>
        <row r="34">
          <cell r="A34" t="str">
            <v>F00000015</v>
          </cell>
          <cell r="D34">
            <v>0</v>
          </cell>
        </row>
        <row r="35">
          <cell r="A35" t="str">
            <v>F00000063</v>
          </cell>
          <cell r="D35">
            <v>1</v>
          </cell>
        </row>
        <row r="36">
          <cell r="A36" t="str">
            <v>F00000069</v>
          </cell>
          <cell r="D36">
            <v>1</v>
          </cell>
        </row>
        <row r="37">
          <cell r="A37" t="str">
            <v>F00000109</v>
          </cell>
          <cell r="D37">
            <v>1</v>
          </cell>
        </row>
        <row r="38">
          <cell r="A38" t="str">
            <v>F00000007</v>
          </cell>
          <cell r="D38">
            <v>2</v>
          </cell>
        </row>
        <row r="39">
          <cell r="A39" t="str">
            <v>F00000020</v>
          </cell>
          <cell r="D39">
            <v>5</v>
          </cell>
        </row>
        <row r="40">
          <cell r="A40" t="str">
            <v>F00000090</v>
          </cell>
          <cell r="D40">
            <v>3</v>
          </cell>
        </row>
        <row r="41">
          <cell r="A41" t="str">
            <v>F00000056</v>
          </cell>
          <cell r="D41">
            <v>1</v>
          </cell>
        </row>
        <row r="42">
          <cell r="A42" t="str">
            <v>F00002587</v>
          </cell>
          <cell r="D42">
            <v>1</v>
          </cell>
        </row>
        <row r="43">
          <cell r="A43" t="str">
            <v>F00000819</v>
          </cell>
          <cell r="D43">
            <v>1</v>
          </cell>
        </row>
        <row r="44">
          <cell r="A44" t="str">
            <v>F00000080</v>
          </cell>
          <cell r="D44">
            <v>2</v>
          </cell>
        </row>
        <row r="45">
          <cell r="A45" t="str">
            <v>F00000111</v>
          </cell>
          <cell r="D45">
            <v>1</v>
          </cell>
        </row>
        <row r="46">
          <cell r="A46" t="str">
            <v>F00000123</v>
          </cell>
          <cell r="D46">
            <v>1</v>
          </cell>
        </row>
        <row r="47">
          <cell r="A47" t="str">
            <v>F00000114</v>
          </cell>
          <cell r="D47">
            <v>3</v>
          </cell>
        </row>
        <row r="48">
          <cell r="A48" t="str">
            <v>F00000524</v>
          </cell>
          <cell r="D48">
            <v>0</v>
          </cell>
        </row>
        <row r="49">
          <cell r="A49" t="str">
            <v>F00001676</v>
          </cell>
          <cell r="D49">
            <v>6</v>
          </cell>
        </row>
        <row r="50">
          <cell r="A50" t="str">
            <v>F00001675</v>
          </cell>
          <cell r="D50">
            <v>4</v>
          </cell>
        </row>
        <row r="51">
          <cell r="A51" t="str">
            <v>F00001674</v>
          </cell>
          <cell r="D51">
            <v>0</v>
          </cell>
        </row>
        <row r="52">
          <cell r="A52" t="str">
            <v>F00002241</v>
          </cell>
          <cell r="D52">
            <v>0</v>
          </cell>
        </row>
        <row r="53">
          <cell r="A53" t="str">
            <v>F00000126</v>
          </cell>
          <cell r="D53">
            <v>0</v>
          </cell>
        </row>
        <row r="54">
          <cell r="A54" t="str">
            <v>F00000473</v>
          </cell>
          <cell r="D54">
            <v>0</v>
          </cell>
        </row>
        <row r="55">
          <cell r="A55" t="str">
            <v>F00000781</v>
          </cell>
          <cell r="D55">
            <v>0</v>
          </cell>
        </row>
        <row r="56">
          <cell r="A56" t="str">
            <v>F00002265</v>
          </cell>
          <cell r="D56">
            <v>0</v>
          </cell>
        </row>
        <row r="57">
          <cell r="A57" t="str">
            <v>F00002266</v>
          </cell>
          <cell r="D57">
            <v>0</v>
          </cell>
        </row>
        <row r="58">
          <cell r="A58" t="str">
            <v>F00002268</v>
          </cell>
          <cell r="D58">
            <v>0</v>
          </cell>
        </row>
        <row r="59">
          <cell r="A59" t="str">
            <v>F00002293</v>
          </cell>
          <cell r="D59">
            <v>0</v>
          </cell>
        </row>
        <row r="60">
          <cell r="A60" t="str">
            <v>F00001671</v>
          </cell>
          <cell r="D60">
            <v>4</v>
          </cell>
        </row>
        <row r="61">
          <cell r="A61" t="str">
            <v>F00001678</v>
          </cell>
          <cell r="D61">
            <v>0</v>
          </cell>
        </row>
        <row r="62">
          <cell r="A62" t="str">
            <v>F00001679</v>
          </cell>
          <cell r="D62">
            <v>15</v>
          </cell>
        </row>
        <row r="63">
          <cell r="A63" t="str">
            <v>F00001681</v>
          </cell>
          <cell r="D63">
            <v>8</v>
          </cell>
        </row>
        <row r="64">
          <cell r="A64" t="str">
            <v>F00001682</v>
          </cell>
          <cell r="D64">
            <v>0</v>
          </cell>
        </row>
        <row r="65">
          <cell r="A65" t="str">
            <v>F00001684</v>
          </cell>
          <cell r="D65">
            <v>1</v>
          </cell>
        </row>
        <row r="66">
          <cell r="A66" t="str">
            <v>F00001687</v>
          </cell>
          <cell r="D66">
            <v>9</v>
          </cell>
        </row>
        <row r="67">
          <cell r="A67" t="str">
            <v>F00001688</v>
          </cell>
          <cell r="D67">
            <v>2</v>
          </cell>
        </row>
        <row r="68">
          <cell r="A68" t="str">
            <v>F00002294</v>
          </cell>
          <cell r="D68">
            <v>0</v>
          </cell>
        </row>
        <row r="69">
          <cell r="A69" t="str">
            <v>F00002295</v>
          </cell>
          <cell r="D69">
            <v>0</v>
          </cell>
        </row>
        <row r="70">
          <cell r="A70" t="str">
            <v>F00000529</v>
          </cell>
          <cell r="D70">
            <v>0</v>
          </cell>
        </row>
        <row r="71">
          <cell r="A71" t="str">
            <v>F00001659</v>
          </cell>
          <cell r="D71">
            <v>0</v>
          </cell>
        </row>
        <row r="72">
          <cell r="A72" t="str">
            <v>F00001665</v>
          </cell>
          <cell r="D72">
            <v>18</v>
          </cell>
        </row>
        <row r="73">
          <cell r="A73" t="str">
            <v>F00001686</v>
          </cell>
          <cell r="D73">
            <v>0</v>
          </cell>
        </row>
        <row r="74">
          <cell r="A74" t="str">
            <v>F00000927</v>
          </cell>
          <cell r="D74">
            <v>0</v>
          </cell>
        </row>
        <row r="75">
          <cell r="A75" t="str">
            <v>F00000946</v>
          </cell>
          <cell r="D75">
            <v>0</v>
          </cell>
        </row>
        <row r="76">
          <cell r="A76" t="str">
            <v>F00002301</v>
          </cell>
          <cell r="D76">
            <v>0</v>
          </cell>
        </row>
        <row r="77">
          <cell r="A77" t="str">
            <v>F00002300</v>
          </cell>
          <cell r="D77">
            <v>0</v>
          </cell>
        </row>
        <row r="78">
          <cell r="A78" t="str">
            <v>F00002240</v>
          </cell>
          <cell r="D78">
            <v>0</v>
          </cell>
        </row>
        <row r="79">
          <cell r="A79" t="str">
            <v>F00001238</v>
          </cell>
          <cell r="D79">
            <v>5</v>
          </cell>
        </row>
        <row r="80">
          <cell r="A80" t="str">
            <v>F00001239</v>
          </cell>
          <cell r="D80">
            <v>0</v>
          </cell>
        </row>
        <row r="81">
          <cell r="A81" t="str">
            <v>F00001241</v>
          </cell>
          <cell r="D81">
            <v>2</v>
          </cell>
        </row>
        <row r="82">
          <cell r="A82" t="str">
            <v>F00001695</v>
          </cell>
          <cell r="D82">
            <v>2</v>
          </cell>
        </row>
        <row r="83">
          <cell r="A83" t="str">
            <v>F00000420</v>
          </cell>
          <cell r="D83">
            <v>0</v>
          </cell>
        </row>
        <row r="84">
          <cell r="A84" t="str">
            <v>F00000424</v>
          </cell>
          <cell r="D84">
            <v>0</v>
          </cell>
        </row>
        <row r="85">
          <cell r="A85" t="str">
            <v>F00000425</v>
          </cell>
          <cell r="D85">
            <v>1</v>
          </cell>
        </row>
        <row r="86">
          <cell r="A86" t="str">
            <v>F00000419</v>
          </cell>
          <cell r="D86">
            <v>8</v>
          </cell>
        </row>
        <row r="87">
          <cell r="A87" t="str">
            <v>F00000300</v>
          </cell>
          <cell r="D87">
            <v>4</v>
          </cell>
        </row>
        <row r="88">
          <cell r="A88" t="str">
            <v>F00000427</v>
          </cell>
          <cell r="D88">
            <v>0</v>
          </cell>
        </row>
        <row r="89">
          <cell r="A89" t="str">
            <v>F00000358</v>
          </cell>
          <cell r="D89">
            <v>0</v>
          </cell>
        </row>
        <row r="90">
          <cell r="A90" t="str">
            <v>F00000363</v>
          </cell>
          <cell r="D90">
            <v>0</v>
          </cell>
        </row>
        <row r="91">
          <cell r="A91" t="str">
            <v>F00000368</v>
          </cell>
          <cell r="D91">
            <v>3</v>
          </cell>
        </row>
        <row r="92">
          <cell r="A92" t="str">
            <v>F00000369</v>
          </cell>
          <cell r="D92">
            <v>0</v>
          </cell>
        </row>
        <row r="93">
          <cell r="A93" t="str">
            <v>F00000408</v>
          </cell>
          <cell r="D93">
            <v>4</v>
          </cell>
        </row>
        <row r="94">
          <cell r="A94" t="str">
            <v>F00001653</v>
          </cell>
          <cell r="D94">
            <v>0</v>
          </cell>
        </row>
        <row r="95">
          <cell r="A95" t="str">
            <v>F00001225</v>
          </cell>
          <cell r="D95">
            <v>0</v>
          </cell>
        </row>
        <row r="96">
          <cell r="A96" t="str">
            <v>F00002120</v>
          </cell>
          <cell r="D96">
            <v>7</v>
          </cell>
        </row>
        <row r="97">
          <cell r="A97" t="str">
            <v>F00002033</v>
          </cell>
          <cell r="D97">
            <v>0</v>
          </cell>
        </row>
        <row r="98">
          <cell r="A98" t="str">
            <v>F00002034</v>
          </cell>
          <cell r="D98">
            <v>0</v>
          </cell>
        </row>
        <row r="99">
          <cell r="A99" t="str">
            <v>F00002153</v>
          </cell>
          <cell r="D99">
            <v>0</v>
          </cell>
        </row>
        <row r="100">
          <cell r="A100" t="str">
            <v>F00001908</v>
          </cell>
          <cell r="D100">
            <v>0</v>
          </cell>
        </row>
        <row r="101">
          <cell r="A101" t="str">
            <v>F00001887</v>
          </cell>
          <cell r="D101">
            <v>4</v>
          </cell>
        </row>
        <row r="102">
          <cell r="A102" t="str">
            <v>F00001158</v>
          </cell>
          <cell r="D102">
            <v>0</v>
          </cell>
        </row>
        <row r="103">
          <cell r="A103" t="str">
            <v>F00001159</v>
          </cell>
          <cell r="D103">
            <v>0</v>
          </cell>
        </row>
        <row r="104">
          <cell r="A104" t="str">
            <v>F00000389</v>
          </cell>
          <cell r="D104">
            <v>8</v>
          </cell>
        </row>
        <row r="105">
          <cell r="A105" t="str">
            <v>F00000808</v>
          </cell>
          <cell r="D105">
            <v>3</v>
          </cell>
        </row>
        <row r="106">
          <cell r="A106" t="str">
            <v>F00000390</v>
          </cell>
          <cell r="D106">
            <v>23</v>
          </cell>
        </row>
        <row r="107">
          <cell r="A107" t="str">
            <v>F00000430</v>
          </cell>
          <cell r="D107">
            <v>5</v>
          </cell>
        </row>
        <row r="108">
          <cell r="A108" t="str">
            <v>F00000405</v>
          </cell>
          <cell r="D108">
            <v>0</v>
          </cell>
        </row>
        <row r="109">
          <cell r="A109" t="str">
            <v>F00000385</v>
          </cell>
          <cell r="D109">
            <v>0</v>
          </cell>
        </row>
        <row r="110">
          <cell r="A110" t="str">
            <v>F00000378</v>
          </cell>
          <cell r="D110">
            <v>0</v>
          </cell>
        </row>
        <row r="111">
          <cell r="A111" t="str">
            <v>F00000381</v>
          </cell>
          <cell r="D111">
            <v>0</v>
          </cell>
        </row>
        <row r="112">
          <cell r="A112" t="str">
            <v>F00001515</v>
          </cell>
          <cell r="D112">
            <v>0</v>
          </cell>
        </row>
        <row r="113">
          <cell r="A113" t="str">
            <v>F00001582</v>
          </cell>
          <cell r="D113">
            <v>2</v>
          </cell>
        </row>
        <row r="114">
          <cell r="A114" t="str">
            <v>F00001516</v>
          </cell>
          <cell r="D114">
            <v>2</v>
          </cell>
        </row>
        <row r="115">
          <cell r="A115" t="str">
            <v>F00000543</v>
          </cell>
          <cell r="D115">
            <v>5</v>
          </cell>
        </row>
        <row r="116">
          <cell r="A116" t="str">
            <v>F00000544</v>
          </cell>
          <cell r="D116">
            <v>0</v>
          </cell>
        </row>
        <row r="117">
          <cell r="A117" t="str">
            <v>F00001375</v>
          </cell>
          <cell r="D117">
            <v>0</v>
          </cell>
        </row>
        <row r="118">
          <cell r="A118" t="str">
            <v>F00000548</v>
          </cell>
          <cell r="D118">
            <v>11</v>
          </cell>
        </row>
        <row r="119">
          <cell r="A119" t="str">
            <v>F00001376</v>
          </cell>
          <cell r="D119">
            <v>6</v>
          </cell>
        </row>
        <row r="120">
          <cell r="A120" t="str">
            <v>F00000558</v>
          </cell>
          <cell r="D120">
            <v>0</v>
          </cell>
        </row>
        <row r="121">
          <cell r="A121" t="str">
            <v>F00000433</v>
          </cell>
          <cell r="D121">
            <v>0</v>
          </cell>
        </row>
        <row r="122">
          <cell r="A122" t="str">
            <v>F00001964</v>
          </cell>
          <cell r="D122">
            <v>0</v>
          </cell>
        </row>
        <row r="123">
          <cell r="A123" t="str">
            <v>F00000447</v>
          </cell>
          <cell r="D123">
            <v>1</v>
          </cell>
        </row>
        <row r="124">
          <cell r="A124" t="str">
            <v>F00000450</v>
          </cell>
          <cell r="D124">
            <v>0</v>
          </cell>
        </row>
        <row r="125">
          <cell r="A125" t="str">
            <v>F00001965</v>
          </cell>
          <cell r="D125">
            <v>0</v>
          </cell>
        </row>
        <row r="126">
          <cell r="A126" t="str">
            <v>F00002272</v>
          </cell>
          <cell r="D126">
            <v>0</v>
          </cell>
        </row>
        <row r="127">
          <cell r="A127" t="str">
            <v>F00002273</v>
          </cell>
          <cell r="D127">
            <v>0</v>
          </cell>
        </row>
        <row r="128">
          <cell r="A128" t="str">
            <v>F00001646</v>
          </cell>
          <cell r="D128">
            <v>0</v>
          </cell>
        </row>
        <row r="129">
          <cell r="A129" t="str">
            <v>F00001648</v>
          </cell>
          <cell r="D129">
            <v>0</v>
          </cell>
        </row>
        <row r="130">
          <cell r="A130" t="str">
            <v>F00001639</v>
          </cell>
          <cell r="D130">
            <v>0</v>
          </cell>
        </row>
        <row r="131">
          <cell r="A131" t="str">
            <v>F00002296</v>
          </cell>
          <cell r="D131">
            <v>0</v>
          </cell>
        </row>
        <row r="132">
          <cell r="A132" t="str">
            <v>F00002278</v>
          </cell>
          <cell r="D132">
            <v>0</v>
          </cell>
        </row>
        <row r="133">
          <cell r="A133" t="str">
            <v>F00000563</v>
          </cell>
          <cell r="D133">
            <v>0</v>
          </cell>
        </row>
        <row r="134">
          <cell r="A134" t="str">
            <v>F00002151</v>
          </cell>
          <cell r="D134">
            <v>1</v>
          </cell>
        </row>
        <row r="135">
          <cell r="A135" t="str">
            <v>F00000511</v>
          </cell>
          <cell r="D135">
            <v>0</v>
          </cell>
        </row>
        <row r="136">
          <cell r="A136" t="str">
            <v>F00000512</v>
          </cell>
          <cell r="D136">
            <v>0</v>
          </cell>
        </row>
        <row r="137">
          <cell r="A137" t="str">
            <v>F00002274</v>
          </cell>
          <cell r="D137">
            <v>0</v>
          </cell>
        </row>
        <row r="138">
          <cell r="A138" t="str">
            <v>F00002045</v>
          </cell>
          <cell r="D138">
            <v>0</v>
          </cell>
        </row>
        <row r="139">
          <cell r="A139" t="str">
            <v>F00002329</v>
          </cell>
          <cell r="D139">
            <v>0</v>
          </cell>
        </row>
        <row r="140">
          <cell r="A140" t="str">
            <v>F00002284</v>
          </cell>
          <cell r="D140">
            <v>3</v>
          </cell>
        </row>
        <row r="141">
          <cell r="A141" t="str">
            <v>F00002275</v>
          </cell>
          <cell r="D141">
            <v>0</v>
          </cell>
        </row>
        <row r="142">
          <cell r="A142" t="str">
            <v>F00002260</v>
          </cell>
          <cell r="D142">
            <v>0</v>
          </cell>
        </row>
        <row r="143">
          <cell r="A143" t="str">
            <v>F00002246</v>
          </cell>
          <cell r="D143">
            <v>0</v>
          </cell>
        </row>
        <row r="144">
          <cell r="A144" t="str">
            <v>F00002287</v>
          </cell>
          <cell r="D144">
            <v>6</v>
          </cell>
        </row>
        <row r="145">
          <cell r="A145" t="str">
            <v>F00002247</v>
          </cell>
          <cell r="D145">
            <v>1</v>
          </cell>
        </row>
        <row r="146">
          <cell r="A146" t="str">
            <v>F00002249</v>
          </cell>
          <cell r="D146">
            <v>0</v>
          </cell>
        </row>
        <row r="147">
          <cell r="A147" t="str">
            <v>F00002257</v>
          </cell>
          <cell r="D147">
            <v>0</v>
          </cell>
        </row>
        <row r="148">
          <cell r="A148" t="str">
            <v>F00002256</v>
          </cell>
          <cell r="D148">
            <v>2</v>
          </cell>
        </row>
        <row r="149">
          <cell r="A149" t="str">
            <v>F00002251</v>
          </cell>
          <cell r="D149">
            <v>1</v>
          </cell>
        </row>
        <row r="150">
          <cell r="A150" t="str">
            <v>F00002252</v>
          </cell>
          <cell r="D150">
            <v>0</v>
          </cell>
        </row>
        <row r="151">
          <cell r="A151" t="str">
            <v>F00001904</v>
          </cell>
          <cell r="D151">
            <v>0</v>
          </cell>
        </row>
        <row r="152">
          <cell r="A152" t="str">
            <v>F00002254</v>
          </cell>
          <cell r="D152">
            <v>5</v>
          </cell>
        </row>
        <row r="153">
          <cell r="A153" t="str">
            <v>F00002255</v>
          </cell>
          <cell r="D153">
            <v>0</v>
          </cell>
        </row>
        <row r="154">
          <cell r="A154" t="str">
            <v>F00001527</v>
          </cell>
          <cell r="D154">
            <v>0</v>
          </cell>
        </row>
        <row r="155">
          <cell r="A155" t="str">
            <v>F00002281</v>
          </cell>
          <cell r="D155">
            <v>0</v>
          </cell>
        </row>
        <row r="156">
          <cell r="A156" t="str">
            <v>F00001006</v>
          </cell>
          <cell r="D156">
            <v>2</v>
          </cell>
        </row>
        <row r="157">
          <cell r="A157" t="str">
            <v>F00002290</v>
          </cell>
          <cell r="D157">
            <v>0</v>
          </cell>
        </row>
        <row r="158">
          <cell r="A158" t="str">
            <v>F00002553</v>
          </cell>
          <cell r="D158">
            <v>0</v>
          </cell>
        </row>
        <row r="159">
          <cell r="A159" t="str">
            <v>F00002552</v>
          </cell>
          <cell r="D159">
            <v>0</v>
          </cell>
        </row>
        <row r="160">
          <cell r="A160" t="str">
            <v>F00002248</v>
          </cell>
          <cell r="D160">
            <v>0</v>
          </cell>
        </row>
        <row r="161">
          <cell r="A161" t="str">
            <v>F00001654</v>
          </cell>
          <cell r="D161">
            <v>0</v>
          </cell>
        </row>
        <row r="162">
          <cell r="A162" t="str">
            <v>F00002291</v>
          </cell>
          <cell r="D162">
            <v>0</v>
          </cell>
        </row>
        <row r="163">
          <cell r="A163" t="str">
            <v>F00001689</v>
          </cell>
          <cell r="D163">
            <v>8</v>
          </cell>
        </row>
        <row r="164">
          <cell r="A164" t="str">
            <v>F00002288</v>
          </cell>
          <cell r="D164">
            <v>1</v>
          </cell>
        </row>
        <row r="165">
          <cell r="A165" t="str">
            <v>F00002286</v>
          </cell>
          <cell r="D165">
            <v>7</v>
          </cell>
        </row>
        <row r="166">
          <cell r="A166" t="str">
            <v>F00001655</v>
          </cell>
          <cell r="D166">
            <v>0</v>
          </cell>
        </row>
        <row r="167">
          <cell r="A167" t="str">
            <v>F00001656</v>
          </cell>
          <cell r="D167">
            <v>0</v>
          </cell>
        </row>
        <row r="168">
          <cell r="A168" t="str">
            <v>F00001054</v>
          </cell>
          <cell r="D168">
            <v>0</v>
          </cell>
        </row>
        <row r="169">
          <cell r="A169" t="str">
            <v>F00001660</v>
          </cell>
          <cell r="D169">
            <v>0</v>
          </cell>
        </row>
        <row r="170">
          <cell r="A170" t="str">
            <v>F00001661</v>
          </cell>
          <cell r="D170">
            <v>0</v>
          </cell>
        </row>
        <row r="171">
          <cell r="A171" t="str">
            <v>F00001662</v>
          </cell>
          <cell r="D171">
            <v>8</v>
          </cell>
        </row>
        <row r="172">
          <cell r="A172" t="str">
            <v>F00001663</v>
          </cell>
          <cell r="D172">
            <v>0</v>
          </cell>
        </row>
        <row r="173">
          <cell r="A173" t="str">
            <v>F00001664</v>
          </cell>
          <cell r="D173">
            <v>0</v>
          </cell>
        </row>
        <row r="174">
          <cell r="A174" t="str">
            <v>F00002292</v>
          </cell>
          <cell r="D174">
            <v>0</v>
          </cell>
        </row>
        <row r="175">
          <cell r="A175" t="str">
            <v>F00001193</v>
          </cell>
          <cell r="D175">
            <v>0</v>
          </cell>
        </row>
        <row r="176">
          <cell r="A176" t="str">
            <v>F00001683</v>
          </cell>
          <cell r="D176">
            <v>0</v>
          </cell>
        </row>
        <row r="177">
          <cell r="A177" t="str">
            <v>F00002299</v>
          </cell>
          <cell r="D177">
            <v>24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topLeftCell="C1" workbookViewId="0">
      <selection activeCell="J5" sqref="J5"/>
    </sheetView>
  </sheetViews>
  <sheetFormatPr defaultRowHeight="14.4" x14ac:dyDescent="0.3"/>
  <cols>
    <col min="1" max="1" width="11" customWidth="1"/>
    <col min="2" max="2" width="44" customWidth="1"/>
    <col min="3" max="3" width="23" customWidth="1"/>
    <col min="4" max="4" width="10" customWidth="1"/>
    <col min="5" max="5" width="15" customWidth="1"/>
    <col min="6" max="6" width="16" customWidth="1"/>
    <col min="7" max="7" width="10" customWidth="1"/>
    <col min="8" max="9" width="12" customWidth="1"/>
    <col min="10" max="10" width="2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2</v>
      </c>
      <c r="I2">
        <f>_xlfn.XLOOKUP(A2,'[1]Заказ SELLS'!$A:$A,'[1]Заказ SELLS'!$D:$D,0,0)</f>
        <v>0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>
        <v>2</v>
      </c>
      <c r="H3">
        <v>2</v>
      </c>
      <c r="I3">
        <f>_xlfn.XLOOKUP(A3,'[1]Заказ SELLS'!$A:$A,'[1]Заказ SELLS'!$D:$D,0,0)</f>
        <v>0</v>
      </c>
      <c r="J3" t="s">
        <v>16</v>
      </c>
    </row>
    <row r="4" spans="1:10" x14ac:dyDescent="0.3">
      <c r="A4" t="s">
        <v>19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>
        <v>2</v>
      </c>
      <c r="H4">
        <v>2</v>
      </c>
      <c r="I4">
        <f>_xlfn.XLOOKUP(A4,'[1]Заказ SELLS'!$A:$A,'[1]Заказ SELLS'!$D:$D,0,0)</f>
        <v>0</v>
      </c>
      <c r="J4" t="s">
        <v>16</v>
      </c>
    </row>
    <row r="5" spans="1:10" x14ac:dyDescent="0.3">
      <c r="A5" t="s">
        <v>21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>
        <v>1</v>
      </c>
      <c r="H5">
        <v>1</v>
      </c>
      <c r="I5">
        <f>_xlfn.XLOOKUP(A5,'[1]Заказ SELLS'!$A:$A,'[1]Заказ SELLS'!$D:$D,0,0)</f>
        <v>0</v>
      </c>
      <c r="J5" t="s">
        <v>16</v>
      </c>
    </row>
    <row r="6" spans="1:10" x14ac:dyDescent="0.3">
      <c r="A6" t="s">
        <v>23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>
        <v>2</v>
      </c>
      <c r="H6">
        <v>2</v>
      </c>
      <c r="I6">
        <f>_xlfn.XLOOKUP(A6,'[1]Заказ SELLS'!$A:$A,'[1]Заказ SELLS'!$D:$D,0,0)</f>
        <v>0</v>
      </c>
      <c r="J6" t="s">
        <v>16</v>
      </c>
    </row>
    <row r="7" spans="1:10" x14ac:dyDescent="0.3">
      <c r="A7" t="s">
        <v>25</v>
      </c>
      <c r="B7" t="s">
        <v>26</v>
      </c>
      <c r="C7" t="s">
        <v>12</v>
      </c>
      <c r="D7" t="s">
        <v>13</v>
      </c>
      <c r="E7" t="s">
        <v>14</v>
      </c>
      <c r="F7" t="s">
        <v>15</v>
      </c>
      <c r="G7">
        <v>4</v>
      </c>
      <c r="H7">
        <v>4</v>
      </c>
      <c r="I7">
        <f>_xlfn.XLOOKUP(A7,'[1]Заказ SELLS'!$A:$A,'[1]Заказ SELLS'!$D:$D,0,0)</f>
        <v>0</v>
      </c>
      <c r="J7" t="s">
        <v>16</v>
      </c>
    </row>
    <row r="8" spans="1:10" x14ac:dyDescent="0.3">
      <c r="A8" t="s">
        <v>27</v>
      </c>
      <c r="B8" t="s">
        <v>28</v>
      </c>
      <c r="C8" t="s">
        <v>12</v>
      </c>
      <c r="D8" t="s">
        <v>13</v>
      </c>
      <c r="E8" t="s">
        <v>14</v>
      </c>
      <c r="F8" t="s">
        <v>15</v>
      </c>
      <c r="G8">
        <v>4</v>
      </c>
      <c r="H8">
        <v>4</v>
      </c>
      <c r="I8">
        <f>_xlfn.XLOOKUP(A8,'[1]Заказ SELLS'!$A:$A,'[1]Заказ SELLS'!$D:$D,0,0)</f>
        <v>0</v>
      </c>
      <c r="J8" t="s">
        <v>16</v>
      </c>
    </row>
    <row r="9" spans="1:10" x14ac:dyDescent="0.3">
      <c r="A9" t="s">
        <v>29</v>
      </c>
      <c r="B9" t="s">
        <v>30</v>
      </c>
      <c r="C9" t="s">
        <v>12</v>
      </c>
      <c r="D9" t="s">
        <v>13</v>
      </c>
      <c r="E9" t="s">
        <v>14</v>
      </c>
      <c r="F9" t="s">
        <v>15</v>
      </c>
      <c r="G9">
        <v>1</v>
      </c>
      <c r="H9">
        <v>1</v>
      </c>
      <c r="I9">
        <f>_xlfn.XLOOKUP(A9,'[1]Заказ SELLS'!$A:$A,'[1]Заказ SELLS'!$D:$D,0,0)</f>
        <v>0</v>
      </c>
      <c r="J9" t="s">
        <v>16</v>
      </c>
    </row>
    <row r="10" spans="1:10" x14ac:dyDescent="0.3">
      <c r="A10" t="s">
        <v>31</v>
      </c>
      <c r="B10" t="s">
        <v>32</v>
      </c>
      <c r="C10" t="s">
        <v>33</v>
      </c>
      <c r="D10" t="s">
        <v>13</v>
      </c>
      <c r="E10" t="s">
        <v>14</v>
      </c>
      <c r="F10" t="s">
        <v>15</v>
      </c>
      <c r="G10">
        <v>1</v>
      </c>
      <c r="H10">
        <v>1</v>
      </c>
      <c r="I10">
        <f>_xlfn.XLOOKUP(A10,'[1]Заказ SELLS'!$A:$A,'[1]Заказ SELLS'!$D:$D,0,0)</f>
        <v>1</v>
      </c>
      <c r="J10" t="s">
        <v>16</v>
      </c>
    </row>
    <row r="11" spans="1:10" x14ac:dyDescent="0.3">
      <c r="A11" t="s">
        <v>34</v>
      </c>
      <c r="B11" t="s">
        <v>35</v>
      </c>
      <c r="C11" t="s">
        <v>33</v>
      </c>
      <c r="D11" t="s">
        <v>13</v>
      </c>
      <c r="E11" t="s">
        <v>14</v>
      </c>
      <c r="F11" t="s">
        <v>15</v>
      </c>
      <c r="G11">
        <v>1</v>
      </c>
      <c r="H11">
        <v>1</v>
      </c>
      <c r="I11">
        <f>_xlfn.XLOOKUP(A11,'[1]Заказ SELLS'!$A:$A,'[1]Заказ SELLS'!$D:$D,0,0)</f>
        <v>0</v>
      </c>
      <c r="J11" t="s">
        <v>16</v>
      </c>
    </row>
    <row r="12" spans="1:10" x14ac:dyDescent="0.3">
      <c r="A12" t="s">
        <v>36</v>
      </c>
      <c r="B12" t="s">
        <v>37</v>
      </c>
      <c r="C12" t="s">
        <v>33</v>
      </c>
      <c r="D12" t="s">
        <v>13</v>
      </c>
      <c r="E12" t="s">
        <v>14</v>
      </c>
      <c r="F12" t="s">
        <v>15</v>
      </c>
      <c r="G12">
        <v>1</v>
      </c>
      <c r="H12">
        <v>1</v>
      </c>
      <c r="I12">
        <f>_xlfn.XLOOKUP(A12,'[1]Заказ SELLS'!$A:$A,'[1]Заказ SELLS'!$D:$D,0,0)</f>
        <v>0</v>
      </c>
      <c r="J12" t="s">
        <v>16</v>
      </c>
    </row>
    <row r="13" spans="1:10" x14ac:dyDescent="0.3">
      <c r="A13" t="s">
        <v>38</v>
      </c>
      <c r="B13" t="s">
        <v>39</v>
      </c>
      <c r="C13" t="s">
        <v>40</v>
      </c>
      <c r="D13" t="s">
        <v>13</v>
      </c>
      <c r="E13" t="s">
        <v>14</v>
      </c>
      <c r="F13" t="s">
        <v>15</v>
      </c>
      <c r="G13">
        <v>5</v>
      </c>
      <c r="H13">
        <v>5</v>
      </c>
      <c r="I13">
        <f>_xlfn.XLOOKUP(A13,'[1]Заказ SELLS'!$A:$A,'[1]Заказ SELLS'!$D:$D,0,0)</f>
        <v>0</v>
      </c>
      <c r="J13" t="s">
        <v>16</v>
      </c>
    </row>
    <row r="14" spans="1:10" x14ac:dyDescent="0.3">
      <c r="A14" t="s">
        <v>41</v>
      </c>
      <c r="B14" t="s">
        <v>42</v>
      </c>
      <c r="C14" t="s">
        <v>40</v>
      </c>
      <c r="D14" t="s">
        <v>13</v>
      </c>
      <c r="E14" t="s">
        <v>14</v>
      </c>
      <c r="F14" t="s">
        <v>15</v>
      </c>
      <c r="G14">
        <v>2</v>
      </c>
      <c r="H14">
        <v>2</v>
      </c>
      <c r="I14">
        <f>_xlfn.XLOOKUP(A14,'[1]Заказ SELLS'!$A:$A,'[1]Заказ SELLS'!$D:$D,0,0)</f>
        <v>0</v>
      </c>
      <c r="J14" t="s">
        <v>16</v>
      </c>
    </row>
    <row r="15" spans="1:10" x14ac:dyDescent="0.3">
      <c r="A15" t="s">
        <v>43</v>
      </c>
      <c r="B15" t="s">
        <v>44</v>
      </c>
      <c r="C15" t="s">
        <v>45</v>
      </c>
      <c r="D15" t="s">
        <v>13</v>
      </c>
      <c r="E15" t="s">
        <v>14</v>
      </c>
      <c r="F15" t="s">
        <v>15</v>
      </c>
      <c r="G15">
        <v>3</v>
      </c>
      <c r="H15">
        <v>3</v>
      </c>
      <c r="I15">
        <f>_xlfn.XLOOKUP(A15,'[1]Заказ SELLS'!$A:$A,'[1]Заказ SELLS'!$D:$D,0,0)</f>
        <v>0</v>
      </c>
      <c r="J15" t="s">
        <v>16</v>
      </c>
    </row>
    <row r="16" spans="1:10" x14ac:dyDescent="0.3">
      <c r="A16" t="s">
        <v>46</v>
      </c>
      <c r="B16" t="s">
        <v>47</v>
      </c>
      <c r="C16" t="s">
        <v>45</v>
      </c>
      <c r="D16" t="s">
        <v>13</v>
      </c>
      <c r="E16" t="s">
        <v>14</v>
      </c>
      <c r="F16" t="s">
        <v>15</v>
      </c>
      <c r="G16">
        <v>3</v>
      </c>
      <c r="H16">
        <v>3</v>
      </c>
      <c r="I16">
        <f>_xlfn.XLOOKUP(A16,'[1]Заказ SELLS'!$A:$A,'[1]Заказ SELLS'!$D:$D,0,0)</f>
        <v>3</v>
      </c>
      <c r="J16" t="s">
        <v>16</v>
      </c>
    </row>
    <row r="17" spans="1:10" x14ac:dyDescent="0.3">
      <c r="A17" t="s">
        <v>48</v>
      </c>
      <c r="B17" t="s">
        <v>49</v>
      </c>
      <c r="C17" t="s">
        <v>45</v>
      </c>
      <c r="D17" t="s">
        <v>13</v>
      </c>
      <c r="E17" t="s">
        <v>14</v>
      </c>
      <c r="F17" t="s">
        <v>15</v>
      </c>
      <c r="G17">
        <v>1</v>
      </c>
      <c r="H17">
        <v>1</v>
      </c>
      <c r="I17">
        <f>_xlfn.XLOOKUP(A17,'[1]Заказ SELLS'!$A:$A,'[1]Заказ SELLS'!$D:$D,0,0)</f>
        <v>0</v>
      </c>
      <c r="J17" t="s">
        <v>16</v>
      </c>
    </row>
    <row r="18" spans="1:10" x14ac:dyDescent="0.3">
      <c r="A18" t="s">
        <v>50</v>
      </c>
      <c r="B18" t="s">
        <v>51</v>
      </c>
      <c r="C18" t="s">
        <v>45</v>
      </c>
      <c r="D18" t="s">
        <v>13</v>
      </c>
      <c r="E18" t="s">
        <v>14</v>
      </c>
      <c r="F18" t="s">
        <v>15</v>
      </c>
      <c r="G18">
        <v>6</v>
      </c>
      <c r="H18">
        <v>6</v>
      </c>
      <c r="I18">
        <f>_xlfn.XLOOKUP(A18,'[1]Заказ SELLS'!$A:$A,'[1]Заказ SELLS'!$D:$D,0,0)</f>
        <v>0</v>
      </c>
      <c r="J18" t="s">
        <v>16</v>
      </c>
    </row>
    <row r="19" spans="1:10" x14ac:dyDescent="0.3">
      <c r="A19" t="s">
        <v>52</v>
      </c>
      <c r="B19" t="s">
        <v>53</v>
      </c>
      <c r="C19" t="s">
        <v>45</v>
      </c>
      <c r="D19" t="s">
        <v>13</v>
      </c>
      <c r="E19" t="s">
        <v>14</v>
      </c>
      <c r="F19" t="s">
        <v>15</v>
      </c>
      <c r="G19">
        <v>5</v>
      </c>
      <c r="H19">
        <v>5</v>
      </c>
      <c r="I19">
        <f>_xlfn.XLOOKUP(A19,'[1]Заказ SELLS'!$A:$A,'[1]Заказ SELLS'!$D:$D,0,0)</f>
        <v>0</v>
      </c>
      <c r="J19" t="s">
        <v>16</v>
      </c>
    </row>
    <row r="20" spans="1:10" x14ac:dyDescent="0.3">
      <c r="A20" t="s">
        <v>54</v>
      </c>
      <c r="B20" t="s">
        <v>55</v>
      </c>
      <c r="C20" t="s">
        <v>45</v>
      </c>
      <c r="D20" t="s">
        <v>13</v>
      </c>
      <c r="E20" t="s">
        <v>14</v>
      </c>
      <c r="F20" t="s">
        <v>15</v>
      </c>
      <c r="G20">
        <v>6</v>
      </c>
      <c r="H20">
        <v>6</v>
      </c>
      <c r="I20">
        <f>_xlfn.XLOOKUP(A20,'[1]Заказ SELLS'!$A:$A,'[1]Заказ SELLS'!$D:$D,0,0)</f>
        <v>6</v>
      </c>
      <c r="J20" t="s">
        <v>16</v>
      </c>
    </row>
    <row r="21" spans="1:10" x14ac:dyDescent="0.3">
      <c r="A21" t="s">
        <v>56</v>
      </c>
      <c r="B21" t="s">
        <v>57</v>
      </c>
      <c r="C21" t="s">
        <v>58</v>
      </c>
      <c r="D21" t="s">
        <v>13</v>
      </c>
      <c r="E21" t="s">
        <v>14</v>
      </c>
      <c r="F21" t="s">
        <v>15</v>
      </c>
      <c r="G21">
        <v>1</v>
      </c>
      <c r="H21">
        <v>0.9</v>
      </c>
      <c r="I21">
        <f>_xlfn.XLOOKUP(A21,'[1]Заказ SELLS'!$A:$A,'[1]Заказ SELLS'!$D:$D,0,0)</f>
        <v>1</v>
      </c>
      <c r="J21" t="s">
        <v>16</v>
      </c>
    </row>
    <row r="22" spans="1:10" x14ac:dyDescent="0.3">
      <c r="A22" t="s">
        <v>59</v>
      </c>
      <c r="B22" t="s">
        <v>60</v>
      </c>
      <c r="C22" t="s">
        <v>58</v>
      </c>
      <c r="D22" t="s">
        <v>13</v>
      </c>
      <c r="E22" t="s">
        <v>14</v>
      </c>
      <c r="F22" t="s">
        <v>15</v>
      </c>
      <c r="G22">
        <v>14</v>
      </c>
      <c r="H22">
        <v>14</v>
      </c>
      <c r="I22">
        <f>_xlfn.XLOOKUP(A22,'[1]Заказ SELLS'!$A:$A,'[1]Заказ SELLS'!$D:$D,0,0)</f>
        <v>0</v>
      </c>
      <c r="J22" t="s">
        <v>16</v>
      </c>
    </row>
    <row r="23" spans="1:10" x14ac:dyDescent="0.3">
      <c r="A23" t="s">
        <v>61</v>
      </c>
      <c r="B23" t="s">
        <v>62</v>
      </c>
      <c r="C23" t="s">
        <v>58</v>
      </c>
      <c r="D23" t="s">
        <v>13</v>
      </c>
      <c r="E23" t="s">
        <v>14</v>
      </c>
      <c r="F23" t="s">
        <v>15</v>
      </c>
      <c r="G23">
        <v>2</v>
      </c>
      <c r="H23">
        <v>1.75</v>
      </c>
      <c r="I23">
        <f>_xlfn.XLOOKUP(A23,'[1]Заказ SELLS'!$A:$A,'[1]Заказ SELLS'!$D:$D,0,0)</f>
        <v>0</v>
      </c>
      <c r="J23" t="s">
        <v>16</v>
      </c>
    </row>
    <row r="24" spans="1:10" x14ac:dyDescent="0.3">
      <c r="A24" t="s">
        <v>63</v>
      </c>
      <c r="B24" t="s">
        <v>64</v>
      </c>
      <c r="C24" t="s">
        <v>58</v>
      </c>
      <c r="D24" t="s">
        <v>13</v>
      </c>
      <c r="E24" t="s">
        <v>14</v>
      </c>
      <c r="F24" t="s">
        <v>15</v>
      </c>
      <c r="G24">
        <v>2</v>
      </c>
      <c r="H24">
        <v>1.6</v>
      </c>
      <c r="I24">
        <f>_xlfn.XLOOKUP(A24,'[1]Заказ SELLS'!$A:$A,'[1]Заказ SELLS'!$D:$D,0,0)</f>
        <v>2</v>
      </c>
      <c r="J24" t="s">
        <v>16</v>
      </c>
    </row>
    <row r="25" spans="1:10" x14ac:dyDescent="0.3">
      <c r="A25" t="s">
        <v>65</v>
      </c>
      <c r="B25" t="s">
        <v>66</v>
      </c>
      <c r="C25" t="s">
        <v>58</v>
      </c>
      <c r="D25" t="s">
        <v>13</v>
      </c>
      <c r="E25" t="s">
        <v>14</v>
      </c>
      <c r="F25" t="s">
        <v>15</v>
      </c>
      <c r="G25">
        <v>1</v>
      </c>
      <c r="H25">
        <v>0.75</v>
      </c>
      <c r="I25">
        <f>_xlfn.XLOOKUP(A25,'[1]Заказ SELLS'!$A:$A,'[1]Заказ SELLS'!$D:$D,0,0)</f>
        <v>1</v>
      </c>
      <c r="J25" t="s">
        <v>16</v>
      </c>
    </row>
    <row r="26" spans="1:10" x14ac:dyDescent="0.3">
      <c r="A26" t="s">
        <v>67</v>
      </c>
      <c r="B26" t="s">
        <v>68</v>
      </c>
      <c r="C26" t="s">
        <v>58</v>
      </c>
      <c r="D26" t="s">
        <v>13</v>
      </c>
      <c r="E26" t="s">
        <v>14</v>
      </c>
      <c r="F26" t="s">
        <v>15</v>
      </c>
      <c r="G26">
        <v>5</v>
      </c>
      <c r="H26">
        <v>4.5999999999999996</v>
      </c>
      <c r="I26">
        <f>_xlfn.XLOOKUP(A26,'[1]Заказ SELLS'!$A:$A,'[1]Заказ SELLS'!$D:$D,0,0)</f>
        <v>0</v>
      </c>
      <c r="J26" t="s">
        <v>16</v>
      </c>
    </row>
    <row r="27" spans="1:10" x14ac:dyDescent="0.3">
      <c r="A27" t="s">
        <v>69</v>
      </c>
      <c r="B27" t="s">
        <v>70</v>
      </c>
      <c r="C27" t="s">
        <v>58</v>
      </c>
      <c r="D27" t="s">
        <v>13</v>
      </c>
      <c r="E27" t="s">
        <v>14</v>
      </c>
      <c r="F27" t="s">
        <v>15</v>
      </c>
      <c r="G27">
        <v>3</v>
      </c>
      <c r="H27">
        <v>2.2999999999999998</v>
      </c>
      <c r="I27">
        <f>_xlfn.XLOOKUP(A27,'[1]Заказ SELLS'!$A:$A,'[1]Заказ SELLS'!$D:$D,0,0)</f>
        <v>0</v>
      </c>
      <c r="J27" t="s">
        <v>16</v>
      </c>
    </row>
    <row r="28" spans="1:10" x14ac:dyDescent="0.3">
      <c r="A28" t="s">
        <v>71</v>
      </c>
      <c r="B28" t="s">
        <v>72</v>
      </c>
      <c r="C28" t="s">
        <v>58</v>
      </c>
      <c r="D28" t="s">
        <v>13</v>
      </c>
      <c r="E28" t="s">
        <v>14</v>
      </c>
      <c r="F28" t="s">
        <v>15</v>
      </c>
      <c r="G28">
        <v>5</v>
      </c>
      <c r="H28">
        <v>4.2</v>
      </c>
      <c r="I28">
        <f>_xlfn.XLOOKUP(A28,'[1]Заказ SELLS'!$A:$A,'[1]Заказ SELLS'!$D:$D,0,0)</f>
        <v>5</v>
      </c>
      <c r="J28" t="s">
        <v>16</v>
      </c>
    </row>
    <row r="29" spans="1:10" x14ac:dyDescent="0.3">
      <c r="A29" t="s">
        <v>73</v>
      </c>
      <c r="B29" t="s">
        <v>74</v>
      </c>
      <c r="C29" t="s">
        <v>58</v>
      </c>
      <c r="D29" t="s">
        <v>13</v>
      </c>
      <c r="E29" t="s">
        <v>14</v>
      </c>
      <c r="F29" t="s">
        <v>15</v>
      </c>
      <c r="G29">
        <v>9</v>
      </c>
      <c r="H29">
        <v>8.6999999999999993</v>
      </c>
      <c r="I29">
        <f>_xlfn.XLOOKUP(A29,'[1]Заказ SELLS'!$A:$A,'[1]Заказ SELLS'!$D:$D,0,0)</f>
        <v>0</v>
      </c>
      <c r="J29" t="s">
        <v>16</v>
      </c>
    </row>
    <row r="30" spans="1:10" x14ac:dyDescent="0.3">
      <c r="A30" t="s">
        <v>75</v>
      </c>
      <c r="B30" t="s">
        <v>76</v>
      </c>
      <c r="C30" t="s">
        <v>77</v>
      </c>
      <c r="D30" t="s">
        <v>13</v>
      </c>
      <c r="E30" t="s">
        <v>14</v>
      </c>
      <c r="F30" t="s">
        <v>15</v>
      </c>
      <c r="G30">
        <v>2</v>
      </c>
      <c r="H30">
        <v>2</v>
      </c>
      <c r="I30">
        <f>_xlfn.XLOOKUP(A30,'[1]Заказ SELLS'!$A:$A,'[1]Заказ SELLS'!$D:$D,0,0)</f>
        <v>0</v>
      </c>
      <c r="J30" t="s">
        <v>16</v>
      </c>
    </row>
    <row r="31" spans="1:10" x14ac:dyDescent="0.3">
      <c r="A31" t="s">
        <v>78</v>
      </c>
      <c r="B31" t="s">
        <v>79</v>
      </c>
      <c r="C31" t="s">
        <v>80</v>
      </c>
      <c r="D31" t="s">
        <v>13</v>
      </c>
      <c r="E31" t="s">
        <v>14</v>
      </c>
      <c r="F31" t="s">
        <v>15</v>
      </c>
      <c r="G31">
        <v>1</v>
      </c>
      <c r="H31">
        <v>0.75</v>
      </c>
      <c r="I31">
        <f>_xlfn.XLOOKUP(A31,'[1]Заказ SELLS'!$A:$A,'[1]Заказ SELLS'!$D:$D,0,0)</f>
        <v>0</v>
      </c>
      <c r="J31" t="s">
        <v>16</v>
      </c>
    </row>
    <row r="32" spans="1:10" x14ac:dyDescent="0.3">
      <c r="A32" t="s">
        <v>81</v>
      </c>
      <c r="B32" t="s">
        <v>82</v>
      </c>
      <c r="C32" t="s">
        <v>80</v>
      </c>
      <c r="D32" t="s">
        <v>13</v>
      </c>
      <c r="E32" t="s">
        <v>14</v>
      </c>
      <c r="F32" t="s">
        <v>15</v>
      </c>
      <c r="G32">
        <v>2</v>
      </c>
      <c r="H32">
        <v>1.1499999999999999</v>
      </c>
      <c r="I32">
        <f>_xlfn.XLOOKUP(A32,'[1]Заказ SELLS'!$A:$A,'[1]Заказ SELLS'!$D:$D,0,0)</f>
        <v>2</v>
      </c>
      <c r="J32" t="s">
        <v>16</v>
      </c>
    </row>
    <row r="33" spans="1:10" x14ac:dyDescent="0.3">
      <c r="A33" t="s">
        <v>83</v>
      </c>
      <c r="B33" t="s">
        <v>84</v>
      </c>
      <c r="C33" t="s">
        <v>80</v>
      </c>
      <c r="D33" t="s">
        <v>13</v>
      </c>
      <c r="E33" t="s">
        <v>14</v>
      </c>
      <c r="F33" t="s">
        <v>15</v>
      </c>
      <c r="G33">
        <v>7</v>
      </c>
      <c r="H33">
        <v>6.9</v>
      </c>
      <c r="I33">
        <f>_xlfn.XLOOKUP(A33,'[1]Заказ SELLS'!$A:$A,'[1]Заказ SELLS'!$D:$D,0,0)</f>
        <v>0</v>
      </c>
      <c r="J33" t="s">
        <v>16</v>
      </c>
    </row>
    <row r="34" spans="1:10" x14ac:dyDescent="0.3">
      <c r="A34" t="s">
        <v>85</v>
      </c>
      <c r="B34" t="s">
        <v>86</v>
      </c>
      <c r="C34" t="s">
        <v>80</v>
      </c>
      <c r="D34" t="s">
        <v>13</v>
      </c>
      <c r="E34" t="s">
        <v>14</v>
      </c>
      <c r="F34" t="s">
        <v>15</v>
      </c>
      <c r="G34">
        <v>3</v>
      </c>
      <c r="H34">
        <v>2.2999999999999998</v>
      </c>
      <c r="I34">
        <f>_xlfn.XLOOKUP(A34,'[1]Заказ SELLS'!$A:$A,'[1]Заказ SELLS'!$D:$D,0,0)</f>
        <v>0</v>
      </c>
      <c r="J34" t="s">
        <v>16</v>
      </c>
    </row>
    <row r="35" spans="1:10" x14ac:dyDescent="0.3">
      <c r="A35" t="s">
        <v>87</v>
      </c>
      <c r="B35" t="s">
        <v>88</v>
      </c>
      <c r="C35" t="s">
        <v>80</v>
      </c>
      <c r="D35" t="s">
        <v>13</v>
      </c>
      <c r="E35" t="s">
        <v>14</v>
      </c>
      <c r="F35" t="s">
        <v>15</v>
      </c>
      <c r="G35">
        <v>3</v>
      </c>
      <c r="H35">
        <v>2.2999999999999998</v>
      </c>
      <c r="I35">
        <f>_xlfn.XLOOKUP(A35,'[1]Заказ SELLS'!$A:$A,'[1]Заказ SELLS'!$D:$D,0,0)</f>
        <v>0</v>
      </c>
      <c r="J35" t="s">
        <v>16</v>
      </c>
    </row>
    <row r="36" spans="1:10" x14ac:dyDescent="0.3">
      <c r="A36" t="s">
        <v>89</v>
      </c>
      <c r="B36" t="s">
        <v>90</v>
      </c>
      <c r="C36" t="s">
        <v>80</v>
      </c>
      <c r="D36" t="s">
        <v>13</v>
      </c>
      <c r="E36" t="s">
        <v>14</v>
      </c>
      <c r="F36" t="s">
        <v>15</v>
      </c>
      <c r="G36">
        <v>6</v>
      </c>
      <c r="H36">
        <v>5.2</v>
      </c>
      <c r="I36">
        <f>_xlfn.XLOOKUP(A36,'[1]Заказ SELLS'!$A:$A,'[1]Заказ SELLS'!$D:$D,0,0)</f>
        <v>0</v>
      </c>
      <c r="J36" t="s">
        <v>16</v>
      </c>
    </row>
    <row r="37" spans="1:10" x14ac:dyDescent="0.3">
      <c r="A37" t="s">
        <v>91</v>
      </c>
      <c r="B37" t="s">
        <v>92</v>
      </c>
      <c r="C37" t="s">
        <v>80</v>
      </c>
      <c r="D37" t="s">
        <v>13</v>
      </c>
      <c r="E37" t="s">
        <v>14</v>
      </c>
      <c r="F37" t="s">
        <v>15</v>
      </c>
      <c r="G37">
        <v>2</v>
      </c>
      <c r="H37">
        <v>1.3</v>
      </c>
      <c r="I37">
        <f>_xlfn.XLOOKUP(A37,'[1]Заказ SELLS'!$A:$A,'[1]Заказ SELLS'!$D:$D,0,0)</f>
        <v>0</v>
      </c>
      <c r="J37" t="s">
        <v>16</v>
      </c>
    </row>
    <row r="38" spans="1:10" x14ac:dyDescent="0.3">
      <c r="A38" t="s">
        <v>93</v>
      </c>
      <c r="B38" t="s">
        <v>94</v>
      </c>
      <c r="C38" t="s">
        <v>80</v>
      </c>
      <c r="D38" t="s">
        <v>13</v>
      </c>
      <c r="E38" t="s">
        <v>14</v>
      </c>
      <c r="F38" t="s">
        <v>15</v>
      </c>
      <c r="G38">
        <v>3</v>
      </c>
      <c r="H38">
        <v>2.9</v>
      </c>
      <c r="I38">
        <f>_xlfn.XLOOKUP(A38,'[1]Заказ SELLS'!$A:$A,'[1]Заказ SELLS'!$D:$D,0,0)</f>
        <v>0</v>
      </c>
      <c r="J38" t="s">
        <v>16</v>
      </c>
    </row>
    <row r="39" spans="1:10" x14ac:dyDescent="0.3">
      <c r="A39" t="s">
        <v>95</v>
      </c>
      <c r="B39" t="s">
        <v>96</v>
      </c>
      <c r="C39" t="s">
        <v>80</v>
      </c>
      <c r="D39" t="s">
        <v>13</v>
      </c>
      <c r="E39" t="s">
        <v>14</v>
      </c>
      <c r="F39" t="s">
        <v>15</v>
      </c>
      <c r="G39">
        <v>3</v>
      </c>
      <c r="H39">
        <v>2.2000000000000002</v>
      </c>
      <c r="I39">
        <f>_xlfn.XLOOKUP(A39,'[1]Заказ SELLS'!$A:$A,'[1]Заказ SELLS'!$D:$D,0,0)</f>
        <v>8</v>
      </c>
      <c r="J39" t="s">
        <v>16</v>
      </c>
    </row>
    <row r="40" spans="1:10" x14ac:dyDescent="0.3">
      <c r="A40" t="s">
        <v>97</v>
      </c>
      <c r="B40" t="s">
        <v>98</v>
      </c>
      <c r="C40" t="s">
        <v>80</v>
      </c>
      <c r="D40" t="s">
        <v>13</v>
      </c>
      <c r="E40" t="s">
        <v>14</v>
      </c>
      <c r="F40" t="s">
        <v>15</v>
      </c>
      <c r="G40">
        <v>1</v>
      </c>
      <c r="H40">
        <v>0.9</v>
      </c>
      <c r="I40">
        <f>_xlfn.XLOOKUP(A40,'[1]Заказ SELLS'!$A:$A,'[1]Заказ SELLS'!$D:$D,0,0)</f>
        <v>1</v>
      </c>
      <c r="J40" t="s">
        <v>16</v>
      </c>
    </row>
    <row r="41" spans="1:10" x14ac:dyDescent="0.3">
      <c r="A41" t="s">
        <v>99</v>
      </c>
      <c r="B41" t="s">
        <v>100</v>
      </c>
      <c r="C41" t="s">
        <v>80</v>
      </c>
      <c r="D41" t="s">
        <v>13</v>
      </c>
      <c r="E41" t="s">
        <v>14</v>
      </c>
      <c r="F41" t="s">
        <v>15</v>
      </c>
      <c r="G41">
        <v>7</v>
      </c>
      <c r="H41">
        <v>6.05</v>
      </c>
      <c r="I41">
        <f>_xlfn.XLOOKUP(A41,'[1]Заказ SELLS'!$A:$A,'[1]Заказ SELLS'!$D:$D,0,0)</f>
        <v>7</v>
      </c>
      <c r="J41" t="s">
        <v>16</v>
      </c>
    </row>
    <row r="42" spans="1:10" x14ac:dyDescent="0.3">
      <c r="A42" t="s">
        <v>101</v>
      </c>
      <c r="B42" t="s">
        <v>102</v>
      </c>
      <c r="C42" t="s">
        <v>80</v>
      </c>
      <c r="D42" t="s">
        <v>13</v>
      </c>
      <c r="E42" t="s">
        <v>14</v>
      </c>
      <c r="F42" t="s">
        <v>15</v>
      </c>
      <c r="G42">
        <v>9</v>
      </c>
      <c r="H42">
        <v>8.1999999999999993</v>
      </c>
      <c r="I42">
        <f>_xlfn.XLOOKUP(A42,'[1]Заказ SELLS'!$A:$A,'[1]Заказ SELLS'!$D:$D,0,0)</f>
        <v>0</v>
      </c>
      <c r="J42" t="s">
        <v>16</v>
      </c>
    </row>
    <row r="43" spans="1:10" x14ac:dyDescent="0.3">
      <c r="A43" t="s">
        <v>103</v>
      </c>
      <c r="B43" t="s">
        <v>104</v>
      </c>
      <c r="C43" t="s">
        <v>80</v>
      </c>
      <c r="D43" t="s">
        <v>13</v>
      </c>
      <c r="E43" t="s">
        <v>14</v>
      </c>
      <c r="F43" t="s">
        <v>15</v>
      </c>
      <c r="G43">
        <v>9</v>
      </c>
      <c r="H43">
        <v>8.1999999999999993</v>
      </c>
      <c r="I43">
        <f>_xlfn.XLOOKUP(A43,'[1]Заказ SELLS'!$A:$A,'[1]Заказ SELLS'!$D:$D,0,0)</f>
        <v>0</v>
      </c>
      <c r="J43" t="s">
        <v>16</v>
      </c>
    </row>
    <row r="44" spans="1:10" x14ac:dyDescent="0.3">
      <c r="A44" t="s">
        <v>105</v>
      </c>
      <c r="B44" t="s">
        <v>106</v>
      </c>
      <c r="C44" t="s">
        <v>80</v>
      </c>
      <c r="D44" t="s">
        <v>13</v>
      </c>
      <c r="E44" t="s">
        <v>14</v>
      </c>
      <c r="F44" t="s">
        <v>15</v>
      </c>
      <c r="G44">
        <v>2</v>
      </c>
      <c r="H44">
        <v>1.1499999999999999</v>
      </c>
      <c r="I44">
        <f>_xlfn.XLOOKUP(A44,'[1]Заказ SELLS'!$A:$A,'[1]Заказ SELLS'!$D:$D,0,0)</f>
        <v>0</v>
      </c>
      <c r="J44" t="s">
        <v>16</v>
      </c>
    </row>
    <row r="45" spans="1:10" x14ac:dyDescent="0.3">
      <c r="A45" t="s">
        <v>107</v>
      </c>
      <c r="B45" t="s">
        <v>108</v>
      </c>
      <c r="C45" t="s">
        <v>80</v>
      </c>
      <c r="D45" t="s">
        <v>13</v>
      </c>
      <c r="E45" t="s">
        <v>14</v>
      </c>
      <c r="F45" t="s">
        <v>15</v>
      </c>
      <c r="G45">
        <v>10</v>
      </c>
      <c r="H45">
        <v>9.1999999999999993</v>
      </c>
      <c r="I45">
        <f>_xlfn.XLOOKUP(A45,'[1]Заказ SELLS'!$A:$A,'[1]Заказ SELLS'!$D:$D,0,0)</f>
        <v>0</v>
      </c>
      <c r="J45" t="s">
        <v>16</v>
      </c>
    </row>
    <row r="46" spans="1:10" x14ac:dyDescent="0.3">
      <c r="A46" t="s">
        <v>109</v>
      </c>
      <c r="B46" t="s">
        <v>110</v>
      </c>
      <c r="C46" t="s">
        <v>80</v>
      </c>
      <c r="D46" t="s">
        <v>13</v>
      </c>
      <c r="E46" t="s">
        <v>14</v>
      </c>
      <c r="F46" t="s">
        <v>15</v>
      </c>
      <c r="G46">
        <v>5</v>
      </c>
      <c r="H46">
        <v>4.2</v>
      </c>
      <c r="I46">
        <f>_xlfn.XLOOKUP(A46,'[1]Заказ SELLS'!$A:$A,'[1]Заказ SELLS'!$D:$D,0,0)</f>
        <v>0</v>
      </c>
      <c r="J46" t="s">
        <v>16</v>
      </c>
    </row>
    <row r="47" spans="1:10" x14ac:dyDescent="0.3">
      <c r="A47" t="s">
        <v>111</v>
      </c>
      <c r="B47" t="s">
        <v>112</v>
      </c>
      <c r="C47" t="s">
        <v>80</v>
      </c>
      <c r="D47" t="s">
        <v>13</v>
      </c>
      <c r="E47" t="s">
        <v>14</v>
      </c>
      <c r="F47" t="s">
        <v>15</v>
      </c>
      <c r="G47">
        <v>1</v>
      </c>
      <c r="H47">
        <v>0.5</v>
      </c>
      <c r="I47">
        <f>_xlfn.XLOOKUP(A47,'[1]Заказ SELLS'!$A:$A,'[1]Заказ SELLS'!$D:$D,0,0)</f>
        <v>8</v>
      </c>
      <c r="J47" t="s">
        <v>16</v>
      </c>
    </row>
    <row r="48" spans="1:10" x14ac:dyDescent="0.3">
      <c r="A48" t="s">
        <v>113</v>
      </c>
      <c r="B48" t="s">
        <v>114</v>
      </c>
      <c r="C48" t="s">
        <v>80</v>
      </c>
      <c r="D48" t="s">
        <v>13</v>
      </c>
      <c r="E48" t="s">
        <v>14</v>
      </c>
      <c r="F48" t="s">
        <v>15</v>
      </c>
      <c r="G48">
        <v>3</v>
      </c>
      <c r="H48">
        <v>2.0499999999999998</v>
      </c>
      <c r="I48">
        <f>_xlfn.XLOOKUP(A48,'[1]Заказ SELLS'!$A:$A,'[1]Заказ SELLS'!$D:$D,0,0)</f>
        <v>0</v>
      </c>
      <c r="J48" t="s">
        <v>16</v>
      </c>
    </row>
    <row r="49" spans="1:10" x14ac:dyDescent="0.3">
      <c r="A49" t="s">
        <v>115</v>
      </c>
      <c r="B49" t="s">
        <v>116</v>
      </c>
      <c r="C49" t="s">
        <v>80</v>
      </c>
      <c r="D49" t="s">
        <v>13</v>
      </c>
      <c r="E49" t="s">
        <v>14</v>
      </c>
      <c r="F49" t="s">
        <v>15</v>
      </c>
      <c r="G49">
        <v>5</v>
      </c>
      <c r="H49">
        <v>4.2</v>
      </c>
      <c r="I49">
        <f>_xlfn.XLOOKUP(A49,'[1]Заказ SELLS'!$A:$A,'[1]Заказ SELLS'!$D:$D,0,0)</f>
        <v>0</v>
      </c>
      <c r="J49" t="s">
        <v>16</v>
      </c>
    </row>
    <row r="50" spans="1:10" x14ac:dyDescent="0.3">
      <c r="A50" t="s">
        <v>117</v>
      </c>
      <c r="B50" t="s">
        <v>118</v>
      </c>
      <c r="C50" t="s">
        <v>80</v>
      </c>
      <c r="D50" t="s">
        <v>13</v>
      </c>
      <c r="E50" t="s">
        <v>14</v>
      </c>
      <c r="F50" t="s">
        <v>15</v>
      </c>
      <c r="G50">
        <v>5</v>
      </c>
      <c r="H50">
        <v>4.9000000000000004</v>
      </c>
      <c r="I50">
        <f>_xlfn.XLOOKUP(A50,'[1]Заказ SELLS'!$A:$A,'[1]Заказ SELLS'!$D:$D,0,0)</f>
        <v>0</v>
      </c>
      <c r="J50" t="s">
        <v>16</v>
      </c>
    </row>
    <row r="51" spans="1:10" x14ac:dyDescent="0.3">
      <c r="A51" t="s">
        <v>119</v>
      </c>
      <c r="B51" t="s">
        <v>120</v>
      </c>
      <c r="C51" t="s">
        <v>80</v>
      </c>
      <c r="D51" t="s">
        <v>13</v>
      </c>
      <c r="E51" t="s">
        <v>14</v>
      </c>
      <c r="F51" t="s">
        <v>15</v>
      </c>
      <c r="G51">
        <v>2</v>
      </c>
      <c r="H51">
        <v>1.1499999999999999</v>
      </c>
      <c r="I51">
        <f>_xlfn.XLOOKUP(A51,'[1]Заказ SELLS'!$A:$A,'[1]Заказ SELLS'!$D:$D,0,0)</f>
        <v>0</v>
      </c>
      <c r="J51" t="s">
        <v>16</v>
      </c>
    </row>
    <row r="52" spans="1:10" x14ac:dyDescent="0.3">
      <c r="A52" t="s">
        <v>121</v>
      </c>
      <c r="B52" t="s">
        <v>122</v>
      </c>
      <c r="C52" t="s">
        <v>80</v>
      </c>
      <c r="D52" t="s">
        <v>13</v>
      </c>
      <c r="E52" t="s">
        <v>14</v>
      </c>
      <c r="F52" t="s">
        <v>15</v>
      </c>
      <c r="G52">
        <v>5</v>
      </c>
      <c r="H52">
        <v>4.5999999999999996</v>
      </c>
      <c r="I52">
        <f>_xlfn.XLOOKUP(A52,'[1]Заказ SELLS'!$A:$A,'[1]Заказ SELLS'!$D:$D,0,0)</f>
        <v>0</v>
      </c>
      <c r="J52" t="s">
        <v>16</v>
      </c>
    </row>
    <row r="53" spans="1:10" x14ac:dyDescent="0.3">
      <c r="A53" t="s">
        <v>123</v>
      </c>
      <c r="B53" t="s">
        <v>124</v>
      </c>
      <c r="C53" t="s">
        <v>125</v>
      </c>
      <c r="D53" t="s">
        <v>13</v>
      </c>
      <c r="E53" t="s">
        <v>14</v>
      </c>
      <c r="F53" t="s">
        <v>15</v>
      </c>
      <c r="G53">
        <v>18</v>
      </c>
      <c r="H53">
        <v>18</v>
      </c>
      <c r="I53">
        <f>_xlfn.XLOOKUP(A53,'[1]Заказ SELLS'!$A:$A,'[1]Заказ SELLS'!$D:$D,0,0)</f>
        <v>24</v>
      </c>
      <c r="J53" t="s">
        <v>16</v>
      </c>
    </row>
    <row r="54" spans="1:10" x14ac:dyDescent="0.3">
      <c r="A54" t="s">
        <v>126</v>
      </c>
      <c r="B54" t="s">
        <v>127</v>
      </c>
      <c r="C54" t="s">
        <v>128</v>
      </c>
      <c r="D54" t="s">
        <v>13</v>
      </c>
      <c r="E54" t="s">
        <v>14</v>
      </c>
      <c r="F54" t="s">
        <v>15</v>
      </c>
      <c r="G54">
        <v>10</v>
      </c>
      <c r="H54">
        <v>10</v>
      </c>
      <c r="I54">
        <f>_xlfn.XLOOKUP(A54,'[1]Заказ SELLS'!$A:$A,'[1]Заказ SELLS'!$D:$D,0,0)</f>
        <v>0</v>
      </c>
      <c r="J54" t="s">
        <v>129</v>
      </c>
    </row>
    <row r="55" spans="1:10" x14ac:dyDescent="0.3">
      <c r="A55" t="s">
        <v>130</v>
      </c>
      <c r="B55" t="s">
        <v>131</v>
      </c>
      <c r="C55" t="s">
        <v>132</v>
      </c>
      <c r="D55" t="s">
        <v>13</v>
      </c>
      <c r="E55" t="s">
        <v>14</v>
      </c>
      <c r="F55" t="s">
        <v>15</v>
      </c>
      <c r="G55">
        <v>4</v>
      </c>
      <c r="H55">
        <v>4</v>
      </c>
      <c r="I55">
        <f>_xlfn.XLOOKUP(A55,'[1]Заказ SELLS'!$A:$A,'[1]Заказ SELLS'!$D:$D,0,0)</f>
        <v>5</v>
      </c>
      <c r="J55" t="s">
        <v>129</v>
      </c>
    </row>
    <row r="56" spans="1:10" x14ac:dyDescent="0.3">
      <c r="A56" t="s">
        <v>133</v>
      </c>
      <c r="B56" t="s">
        <v>134</v>
      </c>
      <c r="C56" t="s">
        <v>132</v>
      </c>
      <c r="D56" t="s">
        <v>13</v>
      </c>
      <c r="E56" t="s">
        <v>14</v>
      </c>
      <c r="F56" t="s">
        <v>15</v>
      </c>
      <c r="G56">
        <v>5</v>
      </c>
      <c r="H56">
        <v>5</v>
      </c>
      <c r="I56">
        <f>_xlfn.XLOOKUP(A56,'[1]Заказ SELLS'!$A:$A,'[1]Заказ SELLS'!$D:$D,0,0)</f>
        <v>0</v>
      </c>
      <c r="J56" t="s">
        <v>129</v>
      </c>
    </row>
    <row r="57" spans="1:10" x14ac:dyDescent="0.3">
      <c r="A57" t="s">
        <v>135</v>
      </c>
      <c r="B57" t="s">
        <v>136</v>
      </c>
      <c r="C57" t="s">
        <v>132</v>
      </c>
      <c r="D57" t="s">
        <v>13</v>
      </c>
      <c r="E57" t="s">
        <v>14</v>
      </c>
      <c r="F57" t="s">
        <v>15</v>
      </c>
      <c r="G57">
        <v>2</v>
      </c>
      <c r="H57">
        <v>2</v>
      </c>
      <c r="I57">
        <f>_xlfn.XLOOKUP(A57,'[1]Заказ SELLS'!$A:$A,'[1]Заказ SELLS'!$D:$D,0,0)</f>
        <v>2</v>
      </c>
      <c r="J57" t="s">
        <v>129</v>
      </c>
    </row>
    <row r="58" spans="1:10" x14ac:dyDescent="0.3">
      <c r="A58" t="s">
        <v>137</v>
      </c>
      <c r="B58" t="s">
        <v>138</v>
      </c>
      <c r="C58" t="s">
        <v>132</v>
      </c>
      <c r="D58" t="s">
        <v>13</v>
      </c>
      <c r="E58" t="s">
        <v>14</v>
      </c>
      <c r="F58" t="s">
        <v>15</v>
      </c>
      <c r="G58">
        <v>1</v>
      </c>
      <c r="H58">
        <v>1</v>
      </c>
      <c r="I58">
        <f>_xlfn.XLOOKUP(A58,'[1]Заказ SELLS'!$A:$A,'[1]Заказ SELLS'!$D:$D,0,0)</f>
        <v>2</v>
      </c>
      <c r="J58" t="s">
        <v>129</v>
      </c>
    </row>
    <row r="59" spans="1:10" x14ac:dyDescent="0.3">
      <c r="A59" t="s">
        <v>139</v>
      </c>
      <c r="B59" t="s">
        <v>140</v>
      </c>
      <c r="C59" t="s">
        <v>141</v>
      </c>
      <c r="D59" t="s">
        <v>13</v>
      </c>
      <c r="E59" t="s">
        <v>14</v>
      </c>
      <c r="F59" t="s">
        <v>15</v>
      </c>
      <c r="G59">
        <v>7</v>
      </c>
      <c r="H59">
        <v>6.2</v>
      </c>
      <c r="I59">
        <f>_xlfn.XLOOKUP(A59,'[1]Заказ SELLS'!$A:$A,'[1]Заказ SELLS'!$D:$D,0,0)</f>
        <v>0</v>
      </c>
      <c r="J59" t="s">
        <v>129</v>
      </c>
    </row>
    <row r="60" spans="1:10" x14ac:dyDescent="0.3">
      <c r="A60" t="s">
        <v>142</v>
      </c>
      <c r="B60" t="s">
        <v>143</v>
      </c>
      <c r="C60" t="s">
        <v>141</v>
      </c>
      <c r="D60" t="s">
        <v>13</v>
      </c>
      <c r="E60" t="s">
        <v>14</v>
      </c>
      <c r="F60" t="s">
        <v>15</v>
      </c>
      <c r="G60">
        <v>7</v>
      </c>
      <c r="H60">
        <v>6.2</v>
      </c>
      <c r="I60">
        <f>_xlfn.XLOOKUP(A60,'[1]Заказ SELLS'!$A:$A,'[1]Заказ SELLS'!$D:$D,0,0)</f>
        <v>0</v>
      </c>
      <c r="J60" t="s">
        <v>129</v>
      </c>
    </row>
    <row r="61" spans="1:10" x14ac:dyDescent="0.3">
      <c r="A61" t="s">
        <v>144</v>
      </c>
      <c r="B61" t="s">
        <v>145</v>
      </c>
      <c r="C61" t="s">
        <v>141</v>
      </c>
      <c r="D61" t="s">
        <v>13</v>
      </c>
      <c r="E61" t="s">
        <v>14</v>
      </c>
      <c r="F61" t="s">
        <v>15</v>
      </c>
      <c r="G61">
        <v>10</v>
      </c>
      <c r="H61">
        <v>9.1999999999999993</v>
      </c>
      <c r="I61">
        <f>_xlfn.XLOOKUP(A61,'[1]Заказ SELLS'!$A:$A,'[1]Заказ SELLS'!$D:$D,0,0)</f>
        <v>1</v>
      </c>
      <c r="J61" t="s">
        <v>129</v>
      </c>
    </row>
    <row r="62" spans="1:10" x14ac:dyDescent="0.3">
      <c r="A62" t="s">
        <v>146</v>
      </c>
      <c r="B62" t="s">
        <v>147</v>
      </c>
      <c r="C62" t="s">
        <v>141</v>
      </c>
      <c r="D62" t="s">
        <v>13</v>
      </c>
      <c r="E62" t="s">
        <v>14</v>
      </c>
      <c r="F62" t="s">
        <v>15</v>
      </c>
      <c r="G62">
        <v>6</v>
      </c>
      <c r="H62">
        <v>5.05</v>
      </c>
      <c r="I62">
        <f>_xlfn.XLOOKUP(A62,'[1]Заказ SELLS'!$A:$A,'[1]Заказ SELLS'!$D:$D,0,0)</f>
        <v>8</v>
      </c>
      <c r="J62" t="s">
        <v>129</v>
      </c>
    </row>
    <row r="63" spans="1:10" x14ac:dyDescent="0.3">
      <c r="A63" t="s">
        <v>148</v>
      </c>
      <c r="B63" t="s">
        <v>149</v>
      </c>
      <c r="C63" t="s">
        <v>141</v>
      </c>
      <c r="D63" t="s">
        <v>13</v>
      </c>
      <c r="E63" t="s">
        <v>14</v>
      </c>
      <c r="F63" t="s">
        <v>15</v>
      </c>
      <c r="G63">
        <v>4</v>
      </c>
      <c r="H63">
        <v>3.9</v>
      </c>
      <c r="I63">
        <f>_xlfn.XLOOKUP(A63,'[1]Заказ SELLS'!$A:$A,'[1]Заказ SELLS'!$D:$D,0,0)</f>
        <v>4</v>
      </c>
      <c r="J63" t="s">
        <v>129</v>
      </c>
    </row>
    <row r="64" spans="1:10" x14ac:dyDescent="0.3">
      <c r="A64" t="s">
        <v>150</v>
      </c>
      <c r="B64" t="s">
        <v>151</v>
      </c>
      <c r="C64" t="s">
        <v>141</v>
      </c>
      <c r="D64" t="s">
        <v>13</v>
      </c>
      <c r="E64" t="s">
        <v>14</v>
      </c>
      <c r="F64" t="s">
        <v>15</v>
      </c>
      <c r="G64">
        <v>7</v>
      </c>
      <c r="H64">
        <v>6.05</v>
      </c>
      <c r="I64">
        <f>_xlfn.XLOOKUP(A64,'[1]Заказ SELLS'!$A:$A,'[1]Заказ SELLS'!$D:$D,0,0)</f>
        <v>0</v>
      </c>
      <c r="J64" t="s">
        <v>129</v>
      </c>
    </row>
    <row r="65" spans="1:10" x14ac:dyDescent="0.3">
      <c r="A65" t="s">
        <v>152</v>
      </c>
      <c r="B65" t="s">
        <v>153</v>
      </c>
      <c r="C65" t="s">
        <v>154</v>
      </c>
      <c r="D65" t="s">
        <v>13</v>
      </c>
      <c r="E65" t="s">
        <v>14</v>
      </c>
      <c r="F65" t="s">
        <v>15</v>
      </c>
      <c r="G65">
        <v>4</v>
      </c>
      <c r="H65">
        <v>3.2</v>
      </c>
      <c r="I65">
        <f>_xlfn.XLOOKUP(A65,'[1]Заказ SELLS'!$A:$A,'[1]Заказ SELLS'!$D:$D,0,0)</f>
        <v>0</v>
      </c>
      <c r="J65" t="s">
        <v>129</v>
      </c>
    </row>
    <row r="66" spans="1:10" x14ac:dyDescent="0.3">
      <c r="A66" t="s">
        <v>155</v>
      </c>
      <c r="B66" t="s">
        <v>156</v>
      </c>
      <c r="C66" t="s">
        <v>154</v>
      </c>
      <c r="D66" t="s">
        <v>13</v>
      </c>
      <c r="E66" t="s">
        <v>14</v>
      </c>
      <c r="F66" t="s">
        <v>15</v>
      </c>
      <c r="G66">
        <v>4</v>
      </c>
      <c r="H66">
        <v>3.9</v>
      </c>
      <c r="I66">
        <f>_xlfn.XLOOKUP(A66,'[1]Заказ SELLS'!$A:$A,'[1]Заказ SELLS'!$D:$D,0,0)</f>
        <v>0</v>
      </c>
      <c r="J66" t="s">
        <v>129</v>
      </c>
    </row>
    <row r="67" spans="1:10" x14ac:dyDescent="0.3">
      <c r="A67" t="s">
        <v>157</v>
      </c>
      <c r="B67" t="s">
        <v>158</v>
      </c>
      <c r="C67" t="s">
        <v>154</v>
      </c>
      <c r="D67" t="s">
        <v>13</v>
      </c>
      <c r="E67" t="s">
        <v>14</v>
      </c>
      <c r="F67" t="s">
        <v>15</v>
      </c>
      <c r="G67">
        <v>3</v>
      </c>
      <c r="H67">
        <v>2.9</v>
      </c>
      <c r="I67">
        <f>_xlfn.XLOOKUP(A67,'[1]Заказ SELLS'!$A:$A,'[1]Заказ SELLS'!$D:$D,0,0)</f>
        <v>3</v>
      </c>
      <c r="J67" t="s">
        <v>129</v>
      </c>
    </row>
    <row r="68" spans="1:10" x14ac:dyDescent="0.3">
      <c r="A68" t="s">
        <v>159</v>
      </c>
      <c r="B68" t="s">
        <v>160</v>
      </c>
      <c r="C68" t="s">
        <v>154</v>
      </c>
      <c r="D68" t="s">
        <v>13</v>
      </c>
      <c r="E68" t="s">
        <v>14</v>
      </c>
      <c r="F68" t="s">
        <v>15</v>
      </c>
      <c r="G68">
        <v>6</v>
      </c>
      <c r="H68">
        <v>5.2</v>
      </c>
      <c r="I68">
        <f>_xlfn.XLOOKUP(A68,'[1]Заказ SELLS'!$A:$A,'[1]Заказ SELLS'!$D:$D,0,0)</f>
        <v>0</v>
      </c>
      <c r="J68" t="s">
        <v>129</v>
      </c>
    </row>
    <row r="69" spans="1:10" x14ac:dyDescent="0.3">
      <c r="A69" t="s">
        <v>161</v>
      </c>
      <c r="B69" t="s">
        <v>162</v>
      </c>
      <c r="C69" t="s">
        <v>154</v>
      </c>
      <c r="D69" t="s">
        <v>13</v>
      </c>
      <c r="E69" t="s">
        <v>14</v>
      </c>
      <c r="F69" t="s">
        <v>15</v>
      </c>
      <c r="G69">
        <v>4</v>
      </c>
      <c r="H69">
        <v>3.2</v>
      </c>
      <c r="I69">
        <f>_xlfn.XLOOKUP(A69,'[1]Заказ SELLS'!$A:$A,'[1]Заказ SELLS'!$D:$D,0,0)</f>
        <v>4</v>
      </c>
      <c r="J69" t="s">
        <v>129</v>
      </c>
    </row>
    <row r="70" spans="1:10" x14ac:dyDescent="0.3">
      <c r="A70" t="s">
        <v>163</v>
      </c>
      <c r="B70" t="s">
        <v>164</v>
      </c>
      <c r="C70" t="s">
        <v>154</v>
      </c>
      <c r="D70" t="s">
        <v>13</v>
      </c>
      <c r="E70" t="s">
        <v>14</v>
      </c>
      <c r="F70" t="s">
        <v>15</v>
      </c>
      <c r="G70">
        <v>4</v>
      </c>
      <c r="H70">
        <v>3.9</v>
      </c>
      <c r="I70">
        <f>_xlfn.XLOOKUP(A70,'[1]Заказ SELLS'!$A:$A,'[1]Заказ SELLS'!$D:$D,0,0)</f>
        <v>0</v>
      </c>
      <c r="J70" t="s">
        <v>129</v>
      </c>
    </row>
    <row r="71" spans="1:10" x14ac:dyDescent="0.3">
      <c r="A71" t="s">
        <v>165</v>
      </c>
      <c r="B71" t="s">
        <v>166</v>
      </c>
      <c r="C71" t="s">
        <v>154</v>
      </c>
      <c r="D71" t="s">
        <v>13</v>
      </c>
      <c r="E71" t="s">
        <v>14</v>
      </c>
      <c r="F71" t="s">
        <v>15</v>
      </c>
      <c r="G71">
        <v>7</v>
      </c>
      <c r="H71">
        <v>6.2</v>
      </c>
      <c r="I71">
        <f>_xlfn.XLOOKUP(A71,'[1]Заказ SELLS'!$A:$A,'[1]Заказ SELLS'!$D:$D,0,0)</f>
        <v>0</v>
      </c>
      <c r="J71" t="s">
        <v>129</v>
      </c>
    </row>
    <row r="72" spans="1:10" x14ac:dyDescent="0.3">
      <c r="A72" t="s">
        <v>167</v>
      </c>
      <c r="B72" t="s">
        <v>168</v>
      </c>
      <c r="C72" t="s">
        <v>154</v>
      </c>
      <c r="D72" t="s">
        <v>13</v>
      </c>
      <c r="E72" t="s">
        <v>14</v>
      </c>
      <c r="F72" t="s">
        <v>15</v>
      </c>
      <c r="G72">
        <v>6</v>
      </c>
      <c r="H72">
        <v>5.75</v>
      </c>
      <c r="I72">
        <f>_xlfn.XLOOKUP(A72,'[1]Заказ SELLS'!$A:$A,'[1]Заказ SELLS'!$D:$D,0,0)</f>
        <v>7</v>
      </c>
      <c r="J72" t="s">
        <v>129</v>
      </c>
    </row>
    <row r="73" spans="1:10" x14ac:dyDescent="0.3">
      <c r="A73" t="s">
        <v>169</v>
      </c>
      <c r="B73" t="s">
        <v>170</v>
      </c>
      <c r="C73" t="s">
        <v>154</v>
      </c>
      <c r="D73" t="s">
        <v>13</v>
      </c>
      <c r="E73" t="s">
        <v>14</v>
      </c>
      <c r="F73" t="s">
        <v>15</v>
      </c>
      <c r="G73">
        <v>2</v>
      </c>
      <c r="H73">
        <v>1.9</v>
      </c>
      <c r="I73">
        <f>_xlfn.XLOOKUP(A73,'[1]Заказ SELLS'!$A:$A,'[1]Заказ SELLS'!$D:$D,0,0)</f>
        <v>0</v>
      </c>
      <c r="J73" t="s">
        <v>129</v>
      </c>
    </row>
    <row r="74" spans="1:10" x14ac:dyDescent="0.3">
      <c r="A74" t="s">
        <v>171</v>
      </c>
      <c r="B74" t="s">
        <v>172</v>
      </c>
      <c r="C74" t="s">
        <v>154</v>
      </c>
      <c r="D74" t="s">
        <v>13</v>
      </c>
      <c r="E74" t="s">
        <v>14</v>
      </c>
      <c r="F74" t="s">
        <v>15</v>
      </c>
      <c r="G74">
        <v>5</v>
      </c>
      <c r="H74">
        <v>4.9000000000000004</v>
      </c>
      <c r="I74">
        <f>_xlfn.XLOOKUP(A74,'[1]Заказ SELLS'!$A:$A,'[1]Заказ SELLS'!$D:$D,0,0)</f>
        <v>0</v>
      </c>
      <c r="J74" t="s">
        <v>129</v>
      </c>
    </row>
    <row r="75" spans="1:10" x14ac:dyDescent="0.3">
      <c r="A75" t="s">
        <v>173</v>
      </c>
      <c r="B75" t="s">
        <v>174</v>
      </c>
      <c r="C75" t="s">
        <v>154</v>
      </c>
      <c r="D75" t="s">
        <v>13</v>
      </c>
      <c r="E75" t="s">
        <v>14</v>
      </c>
      <c r="F75" t="s">
        <v>15</v>
      </c>
      <c r="G75">
        <v>4</v>
      </c>
      <c r="H75">
        <v>3.9</v>
      </c>
      <c r="I75">
        <f>_xlfn.XLOOKUP(A75,'[1]Заказ SELLS'!$A:$A,'[1]Заказ SELLS'!$D:$D,0,0)</f>
        <v>0</v>
      </c>
      <c r="J75" t="s">
        <v>129</v>
      </c>
    </row>
    <row r="76" spans="1:10" x14ac:dyDescent="0.3">
      <c r="A76" t="s">
        <v>175</v>
      </c>
      <c r="B76" t="s">
        <v>176</v>
      </c>
      <c r="C76" t="s">
        <v>154</v>
      </c>
      <c r="D76" t="s">
        <v>13</v>
      </c>
      <c r="E76" t="s">
        <v>14</v>
      </c>
      <c r="F76" t="s">
        <v>15</v>
      </c>
      <c r="G76">
        <v>7</v>
      </c>
      <c r="H76">
        <v>6.9</v>
      </c>
      <c r="I76">
        <f>_xlfn.XLOOKUP(A76,'[1]Заказ SELLS'!$A:$A,'[1]Заказ SELLS'!$D:$D,0,0)</f>
        <v>0</v>
      </c>
      <c r="J76" t="s">
        <v>129</v>
      </c>
    </row>
    <row r="77" spans="1:10" x14ac:dyDescent="0.3">
      <c r="A77" t="s">
        <v>177</v>
      </c>
      <c r="B77" t="s">
        <v>178</v>
      </c>
      <c r="C77" t="s">
        <v>154</v>
      </c>
      <c r="D77" t="s">
        <v>13</v>
      </c>
      <c r="E77" t="s">
        <v>14</v>
      </c>
      <c r="F77" t="s">
        <v>15</v>
      </c>
      <c r="G77">
        <v>1</v>
      </c>
      <c r="H77">
        <v>0.6</v>
      </c>
      <c r="I77">
        <f>_xlfn.XLOOKUP(A77,'[1]Заказ SELLS'!$A:$A,'[1]Заказ SELLS'!$D:$D,0,0)</f>
        <v>0</v>
      </c>
      <c r="J77" t="s">
        <v>129</v>
      </c>
    </row>
    <row r="78" spans="1:10" x14ac:dyDescent="0.3">
      <c r="A78" t="s">
        <v>179</v>
      </c>
      <c r="B78" t="s">
        <v>180</v>
      </c>
      <c r="C78" t="s">
        <v>154</v>
      </c>
      <c r="D78" t="s">
        <v>13</v>
      </c>
      <c r="E78" t="s">
        <v>14</v>
      </c>
      <c r="F78" t="s">
        <v>15</v>
      </c>
      <c r="G78">
        <v>1</v>
      </c>
      <c r="H78">
        <v>0.45</v>
      </c>
      <c r="I78">
        <f>_xlfn.XLOOKUP(A78,'[1]Заказ SELLS'!$A:$A,'[1]Заказ SELLS'!$D:$D,0,0)</f>
        <v>0</v>
      </c>
      <c r="J78" t="s">
        <v>129</v>
      </c>
    </row>
    <row r="79" spans="1:10" x14ac:dyDescent="0.3">
      <c r="A79" t="s">
        <v>181</v>
      </c>
      <c r="B79" t="s">
        <v>182</v>
      </c>
      <c r="C79" t="s">
        <v>154</v>
      </c>
      <c r="D79" t="s">
        <v>13</v>
      </c>
      <c r="E79" t="s">
        <v>14</v>
      </c>
      <c r="F79" t="s">
        <v>15</v>
      </c>
      <c r="G79">
        <v>1</v>
      </c>
      <c r="H79">
        <v>0.2</v>
      </c>
      <c r="I79">
        <f>_xlfn.XLOOKUP(A79,'[1]Заказ SELLS'!$A:$A,'[1]Заказ SELLS'!$D:$D,0,0)</f>
        <v>4</v>
      </c>
      <c r="J79" t="s">
        <v>129</v>
      </c>
    </row>
    <row r="80" spans="1:10" x14ac:dyDescent="0.3">
      <c r="A80" t="s">
        <v>183</v>
      </c>
      <c r="B80" t="s">
        <v>184</v>
      </c>
      <c r="C80" t="s">
        <v>154</v>
      </c>
      <c r="D80" t="s">
        <v>13</v>
      </c>
      <c r="E80" t="s">
        <v>14</v>
      </c>
      <c r="F80" t="s">
        <v>15</v>
      </c>
      <c r="G80">
        <v>8</v>
      </c>
      <c r="H80">
        <v>7.5</v>
      </c>
      <c r="I80">
        <f>_xlfn.XLOOKUP(A80,'[1]Заказ SELLS'!$A:$A,'[1]Заказ SELLS'!$D:$D,0,0)</f>
        <v>8</v>
      </c>
      <c r="J80" t="s">
        <v>129</v>
      </c>
    </row>
    <row r="81" spans="1:10" x14ac:dyDescent="0.3">
      <c r="A81" t="s">
        <v>185</v>
      </c>
      <c r="B81" t="s">
        <v>186</v>
      </c>
      <c r="C81" t="s">
        <v>154</v>
      </c>
      <c r="D81" t="s">
        <v>13</v>
      </c>
      <c r="E81" t="s">
        <v>14</v>
      </c>
      <c r="F81" t="s">
        <v>15</v>
      </c>
      <c r="G81">
        <v>3</v>
      </c>
      <c r="H81">
        <v>2.5</v>
      </c>
      <c r="I81">
        <f>_xlfn.XLOOKUP(A81,'[1]Заказ SELLS'!$A:$A,'[1]Заказ SELLS'!$D:$D,0,0)</f>
        <v>3</v>
      </c>
      <c r="J81" t="s">
        <v>129</v>
      </c>
    </row>
    <row r="82" spans="1:10" x14ac:dyDescent="0.3">
      <c r="A82" t="s">
        <v>187</v>
      </c>
      <c r="B82" t="s">
        <v>188</v>
      </c>
      <c r="C82" t="s">
        <v>154</v>
      </c>
      <c r="D82" t="s">
        <v>13</v>
      </c>
      <c r="E82" t="s">
        <v>14</v>
      </c>
      <c r="F82" t="s">
        <v>15</v>
      </c>
      <c r="G82">
        <v>23</v>
      </c>
      <c r="H82">
        <v>23</v>
      </c>
      <c r="I82">
        <f>_xlfn.XLOOKUP(A82,'[1]Заказ SELLS'!$A:$A,'[1]Заказ SELLS'!$D:$D,0,0)</f>
        <v>23</v>
      </c>
      <c r="J82" t="s">
        <v>129</v>
      </c>
    </row>
    <row r="83" spans="1:10" x14ac:dyDescent="0.3">
      <c r="A83" t="s">
        <v>189</v>
      </c>
      <c r="B83" t="s">
        <v>190</v>
      </c>
      <c r="C83" t="s">
        <v>154</v>
      </c>
      <c r="D83" t="s">
        <v>13</v>
      </c>
      <c r="E83" t="s">
        <v>14</v>
      </c>
      <c r="F83" t="s">
        <v>15</v>
      </c>
      <c r="G83">
        <v>5</v>
      </c>
      <c r="H83">
        <v>4.05</v>
      </c>
      <c r="I83">
        <f>_xlfn.XLOOKUP(A83,'[1]Заказ SELLS'!$A:$A,'[1]Заказ SELLS'!$D:$D,0,0)</f>
        <v>5</v>
      </c>
      <c r="J83" t="s">
        <v>129</v>
      </c>
    </row>
    <row r="84" spans="1:10" x14ac:dyDescent="0.3">
      <c r="A84" t="s">
        <v>191</v>
      </c>
      <c r="B84" t="s">
        <v>192</v>
      </c>
      <c r="C84" t="s">
        <v>154</v>
      </c>
      <c r="D84" t="s">
        <v>13</v>
      </c>
      <c r="E84" t="s">
        <v>14</v>
      </c>
      <c r="F84" t="s">
        <v>15</v>
      </c>
      <c r="G84">
        <v>7</v>
      </c>
      <c r="H84">
        <v>6.9</v>
      </c>
      <c r="I84">
        <f>_xlfn.XLOOKUP(A84,'[1]Заказ SELLS'!$A:$A,'[1]Заказ SELLS'!$D:$D,0,0)</f>
        <v>0</v>
      </c>
      <c r="J84" t="s">
        <v>129</v>
      </c>
    </row>
    <row r="85" spans="1:10" x14ac:dyDescent="0.3">
      <c r="A85" t="s">
        <v>193</v>
      </c>
      <c r="B85" t="s">
        <v>194</v>
      </c>
      <c r="C85" t="s">
        <v>195</v>
      </c>
      <c r="D85" t="s">
        <v>13</v>
      </c>
      <c r="E85" t="s">
        <v>14</v>
      </c>
      <c r="F85" t="s">
        <v>15</v>
      </c>
      <c r="G85">
        <v>2</v>
      </c>
      <c r="H85">
        <v>2</v>
      </c>
      <c r="I85">
        <f>_xlfn.XLOOKUP(A85,'[1]Заказ SELLS'!$A:$A,'[1]Заказ SELLS'!$D:$D,0,0)</f>
        <v>0</v>
      </c>
      <c r="J85" t="s">
        <v>129</v>
      </c>
    </row>
    <row r="86" spans="1:10" x14ac:dyDescent="0.3">
      <c r="A86" t="s">
        <v>196</v>
      </c>
      <c r="B86" t="s">
        <v>197</v>
      </c>
      <c r="C86" t="s">
        <v>195</v>
      </c>
      <c r="D86" t="s">
        <v>13</v>
      </c>
      <c r="E86" t="s">
        <v>14</v>
      </c>
      <c r="F86" t="s">
        <v>15</v>
      </c>
      <c r="G86">
        <v>1</v>
      </c>
      <c r="H86">
        <v>1</v>
      </c>
      <c r="I86">
        <f>_xlfn.XLOOKUP(A86,'[1]Заказ SELLS'!$A:$A,'[1]Заказ SELLS'!$D:$D,0,0)</f>
        <v>0</v>
      </c>
      <c r="J86" t="s">
        <v>129</v>
      </c>
    </row>
    <row r="87" spans="1:10" x14ac:dyDescent="0.3">
      <c r="A87" t="s">
        <v>198</v>
      </c>
      <c r="B87" t="s">
        <v>199</v>
      </c>
      <c r="C87" t="s">
        <v>195</v>
      </c>
      <c r="D87" t="s">
        <v>13</v>
      </c>
      <c r="E87" t="s">
        <v>14</v>
      </c>
      <c r="F87" t="s">
        <v>15</v>
      </c>
      <c r="G87">
        <v>1</v>
      </c>
      <c r="H87">
        <v>1</v>
      </c>
      <c r="I87">
        <f>_xlfn.XLOOKUP(A87,'[1]Заказ SELLS'!$A:$A,'[1]Заказ SELLS'!$D:$D,0,0)</f>
        <v>0</v>
      </c>
      <c r="J87" t="s">
        <v>129</v>
      </c>
    </row>
    <row r="88" spans="1:10" x14ac:dyDescent="0.3">
      <c r="A88" t="s">
        <v>200</v>
      </c>
      <c r="B88" t="s">
        <v>201</v>
      </c>
      <c r="C88" t="s">
        <v>195</v>
      </c>
      <c r="D88" t="s">
        <v>13</v>
      </c>
      <c r="E88" t="s">
        <v>14</v>
      </c>
      <c r="F88" t="s">
        <v>15</v>
      </c>
      <c r="G88">
        <v>1</v>
      </c>
      <c r="H88">
        <v>1</v>
      </c>
      <c r="I88">
        <f>_xlfn.XLOOKUP(A88,'[1]Заказ SELLS'!$A:$A,'[1]Заказ SELLS'!$D:$D,0,0)</f>
        <v>0</v>
      </c>
      <c r="J88" t="s">
        <v>129</v>
      </c>
    </row>
    <row r="89" spans="1:10" x14ac:dyDescent="0.3">
      <c r="A89" t="s">
        <v>202</v>
      </c>
      <c r="B89" t="s">
        <v>203</v>
      </c>
      <c r="C89" t="s">
        <v>195</v>
      </c>
      <c r="D89" t="s">
        <v>13</v>
      </c>
      <c r="E89" t="s">
        <v>14</v>
      </c>
      <c r="F89" t="s">
        <v>15</v>
      </c>
      <c r="G89">
        <v>2</v>
      </c>
      <c r="H89">
        <v>2</v>
      </c>
      <c r="I89">
        <f>_xlfn.XLOOKUP(A89,'[1]Заказ SELLS'!$A:$A,'[1]Заказ SELLS'!$D:$D,0,0)</f>
        <v>2</v>
      </c>
      <c r="J89" t="s">
        <v>129</v>
      </c>
    </row>
    <row r="90" spans="1:10" x14ac:dyDescent="0.3">
      <c r="A90" t="s">
        <v>204</v>
      </c>
      <c r="B90" t="s">
        <v>205</v>
      </c>
      <c r="C90" t="s">
        <v>195</v>
      </c>
      <c r="D90" t="s">
        <v>13</v>
      </c>
      <c r="E90" t="s">
        <v>14</v>
      </c>
      <c r="F90" t="s">
        <v>15</v>
      </c>
      <c r="G90">
        <v>1</v>
      </c>
      <c r="H90">
        <v>1</v>
      </c>
      <c r="I90">
        <f>_xlfn.XLOOKUP(A90,'[1]Заказ SELLS'!$A:$A,'[1]Заказ SELLS'!$D:$D,0,0)</f>
        <v>2</v>
      </c>
      <c r="J90" t="s">
        <v>129</v>
      </c>
    </row>
    <row r="91" spans="1:10" x14ac:dyDescent="0.3">
      <c r="A91" t="s">
        <v>206</v>
      </c>
      <c r="B91" t="s">
        <v>207</v>
      </c>
      <c r="C91" t="s">
        <v>208</v>
      </c>
      <c r="D91" t="s">
        <v>13</v>
      </c>
      <c r="E91" t="s">
        <v>14</v>
      </c>
      <c r="F91" t="s">
        <v>15</v>
      </c>
      <c r="G91">
        <v>5</v>
      </c>
      <c r="H91">
        <v>4.05</v>
      </c>
      <c r="I91">
        <f>_xlfn.XLOOKUP(A91,'[1]Заказ SELLS'!$A:$A,'[1]Заказ SELLS'!$D:$D,0,0)</f>
        <v>5</v>
      </c>
      <c r="J91" t="s">
        <v>129</v>
      </c>
    </row>
    <row r="92" spans="1:10" x14ac:dyDescent="0.3">
      <c r="A92" t="s">
        <v>209</v>
      </c>
      <c r="B92" t="s">
        <v>210</v>
      </c>
      <c r="C92" t="s">
        <v>208</v>
      </c>
      <c r="D92" t="s">
        <v>13</v>
      </c>
      <c r="E92" t="s">
        <v>14</v>
      </c>
      <c r="F92" t="s">
        <v>15</v>
      </c>
      <c r="G92">
        <v>7</v>
      </c>
      <c r="H92">
        <v>6.2</v>
      </c>
      <c r="I92">
        <f>_xlfn.XLOOKUP(A92,'[1]Заказ SELLS'!$A:$A,'[1]Заказ SELLS'!$D:$D,0,0)</f>
        <v>0</v>
      </c>
      <c r="J92" t="s">
        <v>129</v>
      </c>
    </row>
    <row r="93" spans="1:10" x14ac:dyDescent="0.3">
      <c r="A93" t="s">
        <v>211</v>
      </c>
      <c r="B93" t="s">
        <v>212</v>
      </c>
      <c r="C93" t="s">
        <v>208</v>
      </c>
      <c r="D93" t="s">
        <v>13</v>
      </c>
      <c r="E93" t="s">
        <v>14</v>
      </c>
      <c r="F93" t="s">
        <v>15</v>
      </c>
      <c r="G93">
        <v>10</v>
      </c>
      <c r="H93">
        <v>9.1999999999999993</v>
      </c>
      <c r="I93">
        <f>_xlfn.XLOOKUP(A93,'[1]Заказ SELLS'!$A:$A,'[1]Заказ SELLS'!$D:$D,0,0)</f>
        <v>0</v>
      </c>
      <c r="J93" t="s">
        <v>129</v>
      </c>
    </row>
    <row r="94" spans="1:10" x14ac:dyDescent="0.3">
      <c r="A94" t="s">
        <v>213</v>
      </c>
      <c r="B94" t="s">
        <v>214</v>
      </c>
      <c r="C94" t="s">
        <v>208</v>
      </c>
      <c r="D94" t="s">
        <v>13</v>
      </c>
      <c r="E94" t="s">
        <v>14</v>
      </c>
      <c r="F94" t="s">
        <v>15</v>
      </c>
      <c r="G94">
        <v>11</v>
      </c>
      <c r="H94">
        <v>10.5</v>
      </c>
      <c r="I94">
        <f>_xlfn.XLOOKUP(A94,'[1]Заказ SELLS'!$A:$A,'[1]Заказ SELLS'!$D:$D,0,0)</f>
        <v>11</v>
      </c>
      <c r="J94" t="s">
        <v>129</v>
      </c>
    </row>
    <row r="95" spans="1:10" x14ac:dyDescent="0.3">
      <c r="A95" t="s">
        <v>215</v>
      </c>
      <c r="B95" t="s">
        <v>216</v>
      </c>
      <c r="C95" t="s">
        <v>208</v>
      </c>
      <c r="D95" t="s">
        <v>13</v>
      </c>
      <c r="E95" t="s">
        <v>14</v>
      </c>
      <c r="F95" t="s">
        <v>15</v>
      </c>
      <c r="G95">
        <v>6</v>
      </c>
      <c r="H95">
        <v>5.05</v>
      </c>
      <c r="I95">
        <f>_xlfn.XLOOKUP(A95,'[1]Заказ SELLS'!$A:$A,'[1]Заказ SELLS'!$D:$D,0,0)</f>
        <v>6</v>
      </c>
      <c r="J95" t="s">
        <v>129</v>
      </c>
    </row>
    <row r="96" spans="1:10" x14ac:dyDescent="0.3">
      <c r="A96" t="s">
        <v>217</v>
      </c>
      <c r="B96" t="s">
        <v>218</v>
      </c>
      <c r="C96" t="s">
        <v>208</v>
      </c>
      <c r="D96" t="s">
        <v>13</v>
      </c>
      <c r="E96" t="s">
        <v>14</v>
      </c>
      <c r="F96" t="s">
        <v>15</v>
      </c>
      <c r="G96">
        <v>7</v>
      </c>
      <c r="H96">
        <v>6.9</v>
      </c>
      <c r="I96">
        <f>_xlfn.XLOOKUP(A96,'[1]Заказ SELLS'!$A:$A,'[1]Заказ SELLS'!$D:$D,0,0)</f>
        <v>0</v>
      </c>
      <c r="J96" t="s">
        <v>129</v>
      </c>
    </row>
    <row r="97" spans="1:10" x14ac:dyDescent="0.3">
      <c r="A97" t="s">
        <v>219</v>
      </c>
      <c r="B97" t="s">
        <v>220</v>
      </c>
      <c r="C97" t="s">
        <v>221</v>
      </c>
      <c r="D97" t="s">
        <v>13</v>
      </c>
      <c r="E97" t="s">
        <v>14</v>
      </c>
      <c r="F97" t="s">
        <v>15</v>
      </c>
      <c r="G97">
        <v>5</v>
      </c>
      <c r="H97">
        <v>4.75</v>
      </c>
      <c r="I97">
        <f>_xlfn.XLOOKUP(A97,'[1]Заказ SELLS'!$A:$A,'[1]Заказ SELLS'!$D:$D,0,0)</f>
        <v>0</v>
      </c>
      <c r="J97" t="s">
        <v>129</v>
      </c>
    </row>
    <row r="98" spans="1:10" x14ac:dyDescent="0.3">
      <c r="A98" t="s">
        <v>222</v>
      </c>
      <c r="B98" t="s">
        <v>223</v>
      </c>
      <c r="C98" t="s">
        <v>221</v>
      </c>
      <c r="D98" t="s">
        <v>13</v>
      </c>
      <c r="E98" t="s">
        <v>14</v>
      </c>
      <c r="F98" t="s">
        <v>15</v>
      </c>
      <c r="G98">
        <v>6</v>
      </c>
      <c r="H98">
        <v>5.75</v>
      </c>
      <c r="I98">
        <f>_xlfn.XLOOKUP(A98,'[1]Заказ SELLS'!$A:$A,'[1]Заказ SELLS'!$D:$D,0,0)</f>
        <v>0</v>
      </c>
      <c r="J98" t="s">
        <v>129</v>
      </c>
    </row>
    <row r="99" spans="1:10" x14ac:dyDescent="0.3">
      <c r="A99" t="s">
        <v>224</v>
      </c>
      <c r="B99" t="s">
        <v>225</v>
      </c>
      <c r="C99" t="s">
        <v>221</v>
      </c>
      <c r="D99" t="s">
        <v>13</v>
      </c>
      <c r="E99" t="s">
        <v>14</v>
      </c>
      <c r="F99" t="s">
        <v>15</v>
      </c>
      <c r="G99">
        <v>1</v>
      </c>
      <c r="H99">
        <v>0.2</v>
      </c>
      <c r="I99">
        <f>_xlfn.XLOOKUP(A99,'[1]Заказ SELLS'!$A:$A,'[1]Заказ SELLS'!$D:$D,0,0)</f>
        <v>1</v>
      </c>
      <c r="J99" t="s">
        <v>129</v>
      </c>
    </row>
    <row r="100" spans="1:10" x14ac:dyDescent="0.3">
      <c r="A100" t="s">
        <v>226</v>
      </c>
      <c r="B100" t="s">
        <v>227</v>
      </c>
      <c r="C100" t="s">
        <v>221</v>
      </c>
      <c r="D100" t="s">
        <v>13</v>
      </c>
      <c r="E100" t="s">
        <v>14</v>
      </c>
      <c r="F100" t="s">
        <v>15</v>
      </c>
      <c r="G100">
        <v>4</v>
      </c>
      <c r="H100">
        <v>3.75</v>
      </c>
      <c r="I100">
        <f>_xlfn.XLOOKUP(A100,'[1]Заказ SELLS'!$A:$A,'[1]Заказ SELLS'!$D:$D,0,0)</f>
        <v>0</v>
      </c>
      <c r="J100" t="s">
        <v>129</v>
      </c>
    </row>
    <row r="101" spans="1:10" x14ac:dyDescent="0.3">
      <c r="A101" t="s">
        <v>228</v>
      </c>
      <c r="B101" t="s">
        <v>229</v>
      </c>
      <c r="C101" t="s">
        <v>221</v>
      </c>
      <c r="D101" t="s">
        <v>13</v>
      </c>
      <c r="E101" t="s">
        <v>14</v>
      </c>
      <c r="F101" t="s">
        <v>15</v>
      </c>
      <c r="G101">
        <v>5</v>
      </c>
      <c r="H101">
        <v>4.75</v>
      </c>
      <c r="I101">
        <f>_xlfn.XLOOKUP(A101,'[1]Заказ SELLS'!$A:$A,'[1]Заказ SELLS'!$D:$D,0,0)</f>
        <v>0</v>
      </c>
      <c r="J101" t="s">
        <v>129</v>
      </c>
    </row>
    <row r="102" spans="1:10" x14ac:dyDescent="0.3">
      <c r="A102" t="s">
        <v>230</v>
      </c>
      <c r="B102" t="s">
        <v>231</v>
      </c>
      <c r="C102" t="s">
        <v>128</v>
      </c>
      <c r="D102" t="s">
        <v>13</v>
      </c>
      <c r="E102" t="s">
        <v>14</v>
      </c>
      <c r="F102" t="s">
        <v>15</v>
      </c>
      <c r="G102">
        <v>2</v>
      </c>
      <c r="H102">
        <v>2</v>
      </c>
      <c r="I102">
        <f>_xlfn.XLOOKUP(A102,'[1]Заказ SELLS'!$A:$A,'[1]Заказ SELLS'!$D:$D,0,0)</f>
        <v>6</v>
      </c>
      <c r="J102" t="s">
        <v>232</v>
      </c>
    </row>
    <row r="103" spans="1:10" x14ac:dyDescent="0.3">
      <c r="A103" t="s">
        <v>233</v>
      </c>
      <c r="B103" t="s">
        <v>234</v>
      </c>
      <c r="C103" t="s">
        <v>128</v>
      </c>
      <c r="D103" t="s">
        <v>13</v>
      </c>
      <c r="E103" t="s">
        <v>14</v>
      </c>
      <c r="F103" t="s">
        <v>15</v>
      </c>
      <c r="G103">
        <v>1</v>
      </c>
      <c r="H103">
        <v>1</v>
      </c>
      <c r="I103">
        <f>_xlfn.XLOOKUP(A103,'[1]Заказ SELLS'!$A:$A,'[1]Заказ SELLS'!$D:$D,0,0)</f>
        <v>4</v>
      </c>
      <c r="J103" t="s">
        <v>232</v>
      </c>
    </row>
    <row r="104" spans="1:10" x14ac:dyDescent="0.3">
      <c r="A104" t="s">
        <v>235</v>
      </c>
      <c r="B104" t="s">
        <v>236</v>
      </c>
      <c r="C104" t="s">
        <v>128</v>
      </c>
      <c r="D104" t="s">
        <v>13</v>
      </c>
      <c r="E104" t="s">
        <v>14</v>
      </c>
      <c r="F104" t="s">
        <v>15</v>
      </c>
      <c r="G104">
        <v>8</v>
      </c>
      <c r="H104">
        <v>8</v>
      </c>
      <c r="I104">
        <f>_xlfn.XLOOKUP(A104,'[1]Заказ SELLS'!$A:$A,'[1]Заказ SELLS'!$D:$D,0,0)</f>
        <v>0</v>
      </c>
      <c r="J104" t="s">
        <v>232</v>
      </c>
    </row>
    <row r="105" spans="1:10" x14ac:dyDescent="0.3">
      <c r="A105" t="s">
        <v>237</v>
      </c>
      <c r="B105" t="s">
        <v>238</v>
      </c>
      <c r="C105" t="s">
        <v>40</v>
      </c>
      <c r="D105" t="s">
        <v>13</v>
      </c>
      <c r="E105" t="s">
        <v>14</v>
      </c>
      <c r="F105" t="s">
        <v>15</v>
      </c>
      <c r="G105">
        <v>1</v>
      </c>
      <c r="H105">
        <v>1</v>
      </c>
      <c r="I105">
        <f>_xlfn.XLOOKUP(A105,'[1]Заказ SELLS'!$A:$A,'[1]Заказ SELLS'!$D:$D,0,0)</f>
        <v>0</v>
      </c>
      <c r="J105" t="s">
        <v>232</v>
      </c>
    </row>
    <row r="106" spans="1:10" x14ac:dyDescent="0.3">
      <c r="A106" t="s">
        <v>239</v>
      </c>
      <c r="B106" t="s">
        <v>240</v>
      </c>
      <c r="C106" t="s">
        <v>241</v>
      </c>
      <c r="D106" t="s">
        <v>13</v>
      </c>
      <c r="E106" t="s">
        <v>14</v>
      </c>
      <c r="F106" t="s">
        <v>15</v>
      </c>
      <c r="G106">
        <v>2</v>
      </c>
      <c r="H106">
        <v>2</v>
      </c>
      <c r="I106">
        <f>_xlfn.XLOOKUP(A106,'[1]Заказ SELLS'!$A:$A,'[1]Заказ SELLS'!$D:$D,0,0)</f>
        <v>0</v>
      </c>
      <c r="J106" t="s">
        <v>232</v>
      </c>
    </row>
    <row r="107" spans="1:10" x14ac:dyDescent="0.3">
      <c r="A107" t="s">
        <v>242</v>
      </c>
      <c r="B107" t="s">
        <v>243</v>
      </c>
      <c r="C107" t="s">
        <v>241</v>
      </c>
      <c r="D107" t="s">
        <v>13</v>
      </c>
      <c r="E107" t="s">
        <v>14</v>
      </c>
      <c r="F107" t="s">
        <v>15</v>
      </c>
      <c r="G107">
        <v>1</v>
      </c>
      <c r="H107">
        <v>1</v>
      </c>
      <c r="I107">
        <f>_xlfn.XLOOKUP(A107,'[1]Заказ SELLS'!$A:$A,'[1]Заказ SELLS'!$D:$D,0,0)</f>
        <v>0</v>
      </c>
      <c r="J107" t="s">
        <v>232</v>
      </c>
    </row>
    <row r="108" spans="1:10" x14ac:dyDescent="0.3">
      <c r="A108" t="s">
        <v>244</v>
      </c>
      <c r="B108" t="s">
        <v>245</v>
      </c>
      <c r="C108" t="s">
        <v>246</v>
      </c>
      <c r="D108" t="s">
        <v>13</v>
      </c>
      <c r="E108" t="s">
        <v>14</v>
      </c>
      <c r="F108" t="s">
        <v>15</v>
      </c>
      <c r="G108">
        <v>2</v>
      </c>
      <c r="H108">
        <v>2</v>
      </c>
      <c r="I108">
        <f>_xlfn.XLOOKUP(A108,'[1]Заказ SELLS'!$A:$A,'[1]Заказ SELLS'!$D:$D,0,0)</f>
        <v>0</v>
      </c>
      <c r="J108" t="s">
        <v>232</v>
      </c>
    </row>
    <row r="109" spans="1:10" x14ac:dyDescent="0.3">
      <c r="A109" t="s">
        <v>247</v>
      </c>
      <c r="B109" t="s">
        <v>248</v>
      </c>
      <c r="C109" t="s">
        <v>246</v>
      </c>
      <c r="D109" t="s">
        <v>13</v>
      </c>
      <c r="E109" t="s">
        <v>14</v>
      </c>
      <c r="F109" t="s">
        <v>15</v>
      </c>
      <c r="G109">
        <v>10</v>
      </c>
      <c r="H109">
        <v>10</v>
      </c>
      <c r="I109">
        <f>_xlfn.XLOOKUP(A109,'[1]Заказ SELLS'!$A:$A,'[1]Заказ SELLS'!$D:$D,0,0)</f>
        <v>0</v>
      </c>
      <c r="J109" t="s">
        <v>232</v>
      </c>
    </row>
    <row r="110" spans="1:10" x14ac:dyDescent="0.3">
      <c r="A110" t="s">
        <v>249</v>
      </c>
      <c r="B110" t="s">
        <v>250</v>
      </c>
      <c r="C110" t="s">
        <v>246</v>
      </c>
      <c r="D110" t="s">
        <v>13</v>
      </c>
      <c r="E110" t="s">
        <v>14</v>
      </c>
      <c r="F110" t="s">
        <v>15</v>
      </c>
      <c r="G110">
        <v>1</v>
      </c>
      <c r="H110">
        <v>1</v>
      </c>
      <c r="I110">
        <f>_xlfn.XLOOKUP(A110,'[1]Заказ SELLS'!$A:$A,'[1]Заказ SELLS'!$D:$D,0,0)</f>
        <v>0</v>
      </c>
      <c r="J110" t="s">
        <v>232</v>
      </c>
    </row>
    <row r="111" spans="1:10" x14ac:dyDescent="0.3">
      <c r="A111" t="s">
        <v>251</v>
      </c>
      <c r="B111" t="s">
        <v>252</v>
      </c>
      <c r="C111" t="s">
        <v>246</v>
      </c>
      <c r="D111" t="s">
        <v>13</v>
      </c>
      <c r="E111" t="s">
        <v>14</v>
      </c>
      <c r="F111" t="s">
        <v>15</v>
      </c>
      <c r="G111">
        <v>10</v>
      </c>
      <c r="H111">
        <v>10</v>
      </c>
      <c r="I111">
        <f>_xlfn.XLOOKUP(A111,'[1]Заказ SELLS'!$A:$A,'[1]Заказ SELLS'!$D:$D,0,0)</f>
        <v>0</v>
      </c>
      <c r="J111" t="s">
        <v>232</v>
      </c>
    </row>
    <row r="112" spans="1:10" x14ac:dyDescent="0.3">
      <c r="A112" t="s">
        <v>253</v>
      </c>
      <c r="B112" t="s">
        <v>254</v>
      </c>
      <c r="C112" t="s">
        <v>80</v>
      </c>
      <c r="D112" t="s">
        <v>13</v>
      </c>
      <c r="E112" t="s">
        <v>14</v>
      </c>
      <c r="F112" t="s">
        <v>15</v>
      </c>
      <c r="G112">
        <v>3</v>
      </c>
      <c r="H112">
        <v>2.4500000000000002</v>
      </c>
      <c r="I112">
        <f>_xlfn.XLOOKUP(A112,'[1]Заказ SELLS'!$A:$A,'[1]Заказ SELLS'!$D:$D,0,0)</f>
        <v>0</v>
      </c>
      <c r="J112" t="s">
        <v>232</v>
      </c>
    </row>
    <row r="113" spans="1:10" x14ac:dyDescent="0.3">
      <c r="A113" t="s">
        <v>255</v>
      </c>
      <c r="B113" t="s">
        <v>256</v>
      </c>
      <c r="C113" t="s">
        <v>80</v>
      </c>
      <c r="D113" t="s">
        <v>13</v>
      </c>
      <c r="E113" t="s">
        <v>14</v>
      </c>
      <c r="F113" t="s">
        <v>15</v>
      </c>
      <c r="G113">
        <v>3</v>
      </c>
      <c r="H113">
        <v>2.9</v>
      </c>
      <c r="I113">
        <f>_xlfn.XLOOKUP(A113,'[1]Заказ SELLS'!$A:$A,'[1]Заказ SELLS'!$D:$D,0,0)</f>
        <v>4</v>
      </c>
      <c r="J113" t="s">
        <v>232</v>
      </c>
    </row>
    <row r="114" spans="1:10" x14ac:dyDescent="0.3">
      <c r="A114" t="s">
        <v>257</v>
      </c>
      <c r="B114" t="s">
        <v>258</v>
      </c>
      <c r="C114" t="s">
        <v>80</v>
      </c>
      <c r="D114" t="s">
        <v>13</v>
      </c>
      <c r="E114" t="s">
        <v>14</v>
      </c>
      <c r="F114" t="s">
        <v>15</v>
      </c>
      <c r="G114">
        <v>9</v>
      </c>
      <c r="H114">
        <v>8.4</v>
      </c>
      <c r="I114">
        <f>_xlfn.XLOOKUP(A114,'[1]Заказ SELLS'!$A:$A,'[1]Заказ SELLS'!$D:$D,0,0)</f>
        <v>0</v>
      </c>
      <c r="J114" t="s">
        <v>232</v>
      </c>
    </row>
    <row r="115" spans="1:10" x14ac:dyDescent="0.3">
      <c r="A115" t="s">
        <v>259</v>
      </c>
      <c r="B115" t="s">
        <v>260</v>
      </c>
      <c r="C115" t="s">
        <v>80</v>
      </c>
      <c r="D115" t="s">
        <v>13</v>
      </c>
      <c r="E115" t="s">
        <v>14</v>
      </c>
      <c r="F115" t="s">
        <v>15</v>
      </c>
      <c r="G115">
        <v>7</v>
      </c>
      <c r="H115">
        <v>6.6</v>
      </c>
      <c r="I115">
        <f>_xlfn.XLOOKUP(A115,'[1]Заказ SELLS'!$A:$A,'[1]Заказ SELLS'!$D:$D,0,0)</f>
        <v>15</v>
      </c>
      <c r="J115" t="s">
        <v>232</v>
      </c>
    </row>
    <row r="116" spans="1:10" x14ac:dyDescent="0.3">
      <c r="A116" t="s">
        <v>261</v>
      </c>
      <c r="B116" t="s">
        <v>262</v>
      </c>
      <c r="C116" t="s">
        <v>80</v>
      </c>
      <c r="D116" t="s">
        <v>13</v>
      </c>
      <c r="E116" t="s">
        <v>14</v>
      </c>
      <c r="F116" t="s">
        <v>15</v>
      </c>
      <c r="G116">
        <v>7</v>
      </c>
      <c r="H116">
        <v>6.4</v>
      </c>
      <c r="I116">
        <f>_xlfn.XLOOKUP(A116,'[1]Заказ SELLS'!$A:$A,'[1]Заказ SELLS'!$D:$D,0,0)</f>
        <v>8</v>
      </c>
      <c r="J116" t="s">
        <v>232</v>
      </c>
    </row>
    <row r="117" spans="1:10" x14ac:dyDescent="0.3">
      <c r="A117" t="s">
        <v>263</v>
      </c>
      <c r="B117" t="s">
        <v>264</v>
      </c>
      <c r="C117" t="s">
        <v>80</v>
      </c>
      <c r="D117" t="s">
        <v>13</v>
      </c>
      <c r="E117" t="s">
        <v>14</v>
      </c>
      <c r="F117" t="s">
        <v>15</v>
      </c>
      <c r="G117">
        <v>9</v>
      </c>
      <c r="H117">
        <v>8.4499999999999993</v>
      </c>
      <c r="I117">
        <f>_xlfn.XLOOKUP(A117,'[1]Заказ SELLS'!$A:$A,'[1]Заказ SELLS'!$D:$D,0,0)</f>
        <v>0</v>
      </c>
      <c r="J117" t="s">
        <v>232</v>
      </c>
    </row>
    <row r="118" spans="1:10" x14ac:dyDescent="0.3">
      <c r="A118" t="s">
        <v>265</v>
      </c>
      <c r="B118" t="s">
        <v>266</v>
      </c>
      <c r="C118" t="s">
        <v>80</v>
      </c>
      <c r="D118" t="s">
        <v>13</v>
      </c>
      <c r="E118" t="s">
        <v>14</v>
      </c>
      <c r="F118" t="s">
        <v>15</v>
      </c>
      <c r="G118">
        <v>1</v>
      </c>
      <c r="H118">
        <v>0.75</v>
      </c>
      <c r="I118">
        <f>_xlfn.XLOOKUP(A118,'[1]Заказ SELLS'!$A:$A,'[1]Заказ SELLS'!$D:$D,0,0)</f>
        <v>1</v>
      </c>
      <c r="J118" t="s">
        <v>232</v>
      </c>
    </row>
    <row r="119" spans="1:10" x14ac:dyDescent="0.3">
      <c r="A119" t="s">
        <v>267</v>
      </c>
      <c r="B119" t="s">
        <v>268</v>
      </c>
      <c r="C119" t="s">
        <v>80</v>
      </c>
      <c r="D119" t="s">
        <v>13</v>
      </c>
      <c r="E119" t="s">
        <v>14</v>
      </c>
      <c r="F119" t="s">
        <v>15</v>
      </c>
      <c r="G119">
        <v>10</v>
      </c>
      <c r="H119">
        <v>9.5</v>
      </c>
      <c r="I119">
        <f>_xlfn.XLOOKUP(A119,'[1]Заказ SELLS'!$A:$A,'[1]Заказ SELLS'!$D:$D,0,0)</f>
        <v>9</v>
      </c>
      <c r="J119" t="s">
        <v>232</v>
      </c>
    </row>
    <row r="120" spans="1:10" x14ac:dyDescent="0.3">
      <c r="A120" t="s">
        <v>269</v>
      </c>
      <c r="B120" t="s">
        <v>270</v>
      </c>
      <c r="C120" t="s">
        <v>80</v>
      </c>
      <c r="D120" t="s">
        <v>13</v>
      </c>
      <c r="E120" t="s">
        <v>14</v>
      </c>
      <c r="F120" t="s">
        <v>15</v>
      </c>
      <c r="G120">
        <v>2</v>
      </c>
      <c r="H120">
        <v>1.7</v>
      </c>
      <c r="I120">
        <f>_xlfn.XLOOKUP(A120,'[1]Заказ SELLS'!$A:$A,'[1]Заказ SELLS'!$D:$D,0,0)</f>
        <v>2</v>
      </c>
      <c r="J120" t="s">
        <v>232</v>
      </c>
    </row>
    <row r="121" spans="1:10" x14ac:dyDescent="0.3">
      <c r="A121" t="s">
        <v>271</v>
      </c>
      <c r="B121" t="s">
        <v>272</v>
      </c>
      <c r="C121" t="s">
        <v>80</v>
      </c>
      <c r="D121" t="s">
        <v>13</v>
      </c>
      <c r="E121" t="s">
        <v>14</v>
      </c>
      <c r="F121" t="s">
        <v>15</v>
      </c>
      <c r="G121">
        <v>1</v>
      </c>
      <c r="H121">
        <v>0.6</v>
      </c>
      <c r="I121">
        <f>_xlfn.XLOOKUP(A121,'[1]Заказ SELLS'!$A:$A,'[1]Заказ SELLS'!$D:$D,0,0)</f>
        <v>0</v>
      </c>
      <c r="J121" t="s">
        <v>232</v>
      </c>
    </row>
    <row r="122" spans="1:10" x14ac:dyDescent="0.3">
      <c r="A122" t="s">
        <v>273</v>
      </c>
      <c r="B122" t="s">
        <v>274</v>
      </c>
      <c r="C122" t="s">
        <v>80</v>
      </c>
      <c r="D122" t="s">
        <v>13</v>
      </c>
      <c r="E122" t="s">
        <v>14</v>
      </c>
      <c r="F122" t="s">
        <v>15</v>
      </c>
      <c r="G122">
        <v>4</v>
      </c>
      <c r="H122">
        <v>3.6</v>
      </c>
      <c r="I122">
        <f>_xlfn.XLOOKUP(A122,'[1]Заказ SELLS'!$A:$A,'[1]Заказ SELLS'!$D:$D,0,0)</f>
        <v>0</v>
      </c>
      <c r="J122" t="s">
        <v>232</v>
      </c>
    </row>
    <row r="123" spans="1:10" x14ac:dyDescent="0.3">
      <c r="A123" t="s">
        <v>275</v>
      </c>
      <c r="B123" t="s">
        <v>276</v>
      </c>
      <c r="C123" t="s">
        <v>277</v>
      </c>
      <c r="D123" t="s">
        <v>13</v>
      </c>
      <c r="E123" t="s">
        <v>14</v>
      </c>
      <c r="F123" t="s">
        <v>15</v>
      </c>
      <c r="G123">
        <v>6</v>
      </c>
      <c r="H123">
        <v>6</v>
      </c>
      <c r="I123">
        <f>_xlfn.XLOOKUP(A123,'[1]Заказ SELLS'!$A:$A,'[1]Заказ SELLS'!$D:$D,0,0)</f>
        <v>0</v>
      </c>
      <c r="J123" t="s">
        <v>232</v>
      </c>
    </row>
    <row r="124" spans="1:10" x14ac:dyDescent="0.3">
      <c r="A124" t="s">
        <v>278</v>
      </c>
      <c r="B124" t="s">
        <v>279</v>
      </c>
      <c r="C124" t="s">
        <v>277</v>
      </c>
      <c r="D124" t="s">
        <v>13</v>
      </c>
      <c r="E124" t="s">
        <v>14</v>
      </c>
      <c r="F124" t="s">
        <v>15</v>
      </c>
      <c r="G124">
        <v>6</v>
      </c>
      <c r="H124">
        <v>6</v>
      </c>
      <c r="I124">
        <f>_xlfn.XLOOKUP(A124,'[1]Заказ SELLS'!$A:$A,'[1]Заказ SELLS'!$D:$D,0,0)</f>
        <v>0</v>
      </c>
      <c r="J124" t="s">
        <v>232</v>
      </c>
    </row>
    <row r="125" spans="1:10" x14ac:dyDescent="0.3">
      <c r="A125" t="s">
        <v>280</v>
      </c>
      <c r="B125" t="s">
        <v>281</v>
      </c>
      <c r="C125" t="s">
        <v>277</v>
      </c>
      <c r="D125" t="s">
        <v>13</v>
      </c>
      <c r="E125" t="s">
        <v>14</v>
      </c>
      <c r="F125" t="s">
        <v>15</v>
      </c>
      <c r="G125">
        <v>13</v>
      </c>
      <c r="H125">
        <v>13</v>
      </c>
      <c r="I125">
        <f>_xlfn.XLOOKUP(A125,'[1]Заказ SELLS'!$A:$A,'[1]Заказ SELLS'!$D:$D,0,0)</f>
        <v>18</v>
      </c>
      <c r="J125" t="s">
        <v>232</v>
      </c>
    </row>
    <row r="126" spans="1:10" x14ac:dyDescent="0.3">
      <c r="A126" t="s">
        <v>282</v>
      </c>
      <c r="B126" t="s">
        <v>283</v>
      </c>
      <c r="C126" t="s">
        <v>277</v>
      </c>
      <c r="D126" t="s">
        <v>13</v>
      </c>
      <c r="E126" t="s">
        <v>14</v>
      </c>
      <c r="F126" t="s">
        <v>15</v>
      </c>
      <c r="G126">
        <v>9</v>
      </c>
      <c r="H126">
        <v>9</v>
      </c>
      <c r="I126">
        <f>_xlfn.XLOOKUP(A126,'[1]Заказ SELLS'!$A:$A,'[1]Заказ SELLS'!$D:$D,0,0)</f>
        <v>0</v>
      </c>
      <c r="J126" t="s">
        <v>232</v>
      </c>
    </row>
    <row r="127" spans="1:10" x14ac:dyDescent="0.3">
      <c r="A127" t="s">
        <v>284</v>
      </c>
      <c r="B127" t="s">
        <v>285</v>
      </c>
      <c r="C127" t="s">
        <v>286</v>
      </c>
      <c r="D127" t="s">
        <v>13</v>
      </c>
      <c r="E127" t="s">
        <v>14</v>
      </c>
      <c r="F127" t="s">
        <v>15</v>
      </c>
      <c r="G127">
        <v>3</v>
      </c>
      <c r="H127">
        <v>3</v>
      </c>
      <c r="I127">
        <f>_xlfn.XLOOKUP(A127,'[1]Заказ SELLS'!$A:$A,'[1]Заказ SELLS'!$D:$D,0,0)</f>
        <v>0</v>
      </c>
      <c r="J127" t="s">
        <v>232</v>
      </c>
    </row>
    <row r="128" spans="1:10" x14ac:dyDescent="0.3">
      <c r="A128" t="s">
        <v>287</v>
      </c>
      <c r="B128" t="s">
        <v>288</v>
      </c>
      <c r="C128" t="s">
        <v>286</v>
      </c>
      <c r="D128" t="s">
        <v>13</v>
      </c>
      <c r="E128" t="s">
        <v>14</v>
      </c>
      <c r="F128" t="s">
        <v>15</v>
      </c>
      <c r="G128">
        <v>3</v>
      </c>
      <c r="H128">
        <v>3</v>
      </c>
      <c r="I128">
        <f>_xlfn.XLOOKUP(A128,'[1]Заказ SELLS'!$A:$A,'[1]Заказ SELLS'!$D:$D,0,0)</f>
        <v>0</v>
      </c>
      <c r="J128" t="s">
        <v>232</v>
      </c>
    </row>
    <row r="129" spans="1:10" x14ac:dyDescent="0.3">
      <c r="A129" t="s">
        <v>289</v>
      </c>
      <c r="B129" t="s">
        <v>290</v>
      </c>
      <c r="C129" t="s">
        <v>286</v>
      </c>
      <c r="D129" t="s">
        <v>13</v>
      </c>
      <c r="E129" t="s">
        <v>14</v>
      </c>
      <c r="F129" t="s">
        <v>15</v>
      </c>
      <c r="G129">
        <v>3</v>
      </c>
      <c r="H129">
        <v>3</v>
      </c>
      <c r="I129">
        <f>_xlfn.XLOOKUP(A129,'[1]Заказ SELLS'!$A:$A,'[1]Заказ SELLS'!$D:$D,0,0)</f>
        <v>0</v>
      </c>
      <c r="J129" t="s">
        <v>232</v>
      </c>
    </row>
    <row r="130" spans="1:10" x14ac:dyDescent="0.3">
      <c r="A130" t="s">
        <v>291</v>
      </c>
      <c r="B130" t="s">
        <v>292</v>
      </c>
      <c r="C130" t="s">
        <v>286</v>
      </c>
      <c r="D130" t="s">
        <v>13</v>
      </c>
      <c r="E130" t="s">
        <v>14</v>
      </c>
      <c r="F130" t="s">
        <v>15</v>
      </c>
      <c r="G130">
        <v>3</v>
      </c>
      <c r="H130">
        <v>3</v>
      </c>
      <c r="I130">
        <f>_xlfn.XLOOKUP(A130,'[1]Заказ SELLS'!$A:$A,'[1]Заказ SELLS'!$D:$D,0,0)</f>
        <v>0</v>
      </c>
      <c r="J130" t="s">
        <v>232</v>
      </c>
    </row>
    <row r="131" spans="1:10" x14ac:dyDescent="0.3">
      <c r="A131" t="s">
        <v>293</v>
      </c>
      <c r="B131" t="s">
        <v>294</v>
      </c>
      <c r="C131" t="s">
        <v>295</v>
      </c>
      <c r="D131" t="s">
        <v>13</v>
      </c>
      <c r="E131" t="s">
        <v>14</v>
      </c>
      <c r="F131" t="s">
        <v>15</v>
      </c>
      <c r="G131">
        <v>1</v>
      </c>
      <c r="H131">
        <v>0.2</v>
      </c>
      <c r="I131">
        <f>_xlfn.XLOOKUP(A131,'[1]Заказ SELLS'!$A:$A,'[1]Заказ SELLS'!$D:$D,0,0)</f>
        <v>1</v>
      </c>
      <c r="J131" t="s">
        <v>296</v>
      </c>
    </row>
    <row r="132" spans="1:10" x14ac:dyDescent="0.3">
      <c r="A132" t="s">
        <v>297</v>
      </c>
      <c r="B132" t="s">
        <v>298</v>
      </c>
      <c r="C132" t="s">
        <v>295</v>
      </c>
      <c r="D132" t="s">
        <v>13</v>
      </c>
      <c r="E132" t="s">
        <v>14</v>
      </c>
      <c r="F132" t="s">
        <v>15</v>
      </c>
      <c r="G132">
        <v>2</v>
      </c>
      <c r="H132">
        <v>1.1000000000000001</v>
      </c>
      <c r="I132">
        <f>_xlfn.XLOOKUP(A132,'[1]Заказ SELLS'!$A:$A,'[1]Заказ SELLS'!$D:$D,0,0)</f>
        <v>0</v>
      </c>
      <c r="J132" t="s">
        <v>296</v>
      </c>
    </row>
    <row r="133" spans="1:10" x14ac:dyDescent="0.3">
      <c r="A133" t="s">
        <v>299</v>
      </c>
      <c r="B133" t="s">
        <v>300</v>
      </c>
      <c r="C133" t="s">
        <v>295</v>
      </c>
      <c r="D133" t="s">
        <v>13</v>
      </c>
      <c r="E133" t="s">
        <v>14</v>
      </c>
      <c r="F133" t="s">
        <v>15</v>
      </c>
      <c r="G133">
        <v>2</v>
      </c>
      <c r="H133">
        <v>1.1000000000000001</v>
      </c>
      <c r="I133">
        <f>_xlfn.XLOOKUP(A133,'[1]Заказ SELLS'!$A:$A,'[1]Заказ SELLS'!$D:$D,0,0)</f>
        <v>0</v>
      </c>
      <c r="J133" t="s">
        <v>296</v>
      </c>
    </row>
    <row r="134" spans="1:10" x14ac:dyDescent="0.3">
      <c r="A134" t="s">
        <v>301</v>
      </c>
      <c r="B134" t="s">
        <v>302</v>
      </c>
      <c r="C134" t="s">
        <v>295</v>
      </c>
      <c r="D134" t="s">
        <v>13</v>
      </c>
      <c r="E134" t="s">
        <v>14</v>
      </c>
      <c r="F134" t="s">
        <v>15</v>
      </c>
      <c r="G134">
        <v>2</v>
      </c>
      <c r="H134">
        <v>1.2</v>
      </c>
      <c r="I134">
        <f>_xlfn.XLOOKUP(A134,'[1]Заказ SELLS'!$A:$A,'[1]Заказ SELLS'!$D:$D,0,0)</f>
        <v>0</v>
      </c>
      <c r="J134" t="s">
        <v>296</v>
      </c>
    </row>
    <row r="135" spans="1:10" x14ac:dyDescent="0.3">
      <c r="A135" t="s">
        <v>303</v>
      </c>
      <c r="B135" t="s">
        <v>304</v>
      </c>
      <c r="C135" t="s">
        <v>295</v>
      </c>
      <c r="D135" t="s">
        <v>13</v>
      </c>
      <c r="E135" t="s">
        <v>14</v>
      </c>
      <c r="F135" t="s">
        <v>15</v>
      </c>
      <c r="G135">
        <v>1</v>
      </c>
      <c r="H135">
        <v>0.1</v>
      </c>
      <c r="I135">
        <f>_xlfn.XLOOKUP(A135,'[1]Заказ SELLS'!$A:$A,'[1]Заказ SELLS'!$D:$D,0,0)</f>
        <v>1</v>
      </c>
      <c r="J135" t="s">
        <v>296</v>
      </c>
    </row>
    <row r="136" spans="1:10" x14ac:dyDescent="0.3">
      <c r="A136" t="s">
        <v>305</v>
      </c>
      <c r="B136" t="s">
        <v>306</v>
      </c>
      <c r="C136" t="s">
        <v>295</v>
      </c>
      <c r="D136" t="s">
        <v>13</v>
      </c>
      <c r="E136" t="s">
        <v>14</v>
      </c>
      <c r="F136" t="s">
        <v>15</v>
      </c>
      <c r="G136">
        <v>1</v>
      </c>
      <c r="H136">
        <v>0.3</v>
      </c>
      <c r="I136">
        <f>_xlfn.XLOOKUP(A136,'[1]Заказ SELLS'!$A:$A,'[1]Заказ SELLS'!$D:$D,0,0)</f>
        <v>1</v>
      </c>
      <c r="J136" t="s">
        <v>296</v>
      </c>
    </row>
    <row r="137" spans="1:10" x14ac:dyDescent="0.3">
      <c r="A137" t="s">
        <v>307</v>
      </c>
      <c r="B137" t="s">
        <v>308</v>
      </c>
      <c r="C137" t="s">
        <v>295</v>
      </c>
      <c r="D137" t="s">
        <v>13</v>
      </c>
      <c r="E137" t="s">
        <v>14</v>
      </c>
      <c r="F137" t="s">
        <v>15</v>
      </c>
      <c r="G137">
        <v>1</v>
      </c>
      <c r="H137">
        <v>0.1</v>
      </c>
      <c r="I137">
        <f>_xlfn.XLOOKUP(A137,'[1]Заказ SELLS'!$A:$A,'[1]Заказ SELLS'!$D:$D,0,0)</f>
        <v>0</v>
      </c>
      <c r="J137" t="s">
        <v>296</v>
      </c>
    </row>
    <row r="138" spans="1:10" x14ac:dyDescent="0.3">
      <c r="A138" t="s">
        <v>309</v>
      </c>
      <c r="B138" t="s">
        <v>310</v>
      </c>
      <c r="C138" t="s">
        <v>295</v>
      </c>
      <c r="D138" t="s">
        <v>13</v>
      </c>
      <c r="E138" t="s">
        <v>14</v>
      </c>
      <c r="F138" t="s">
        <v>15</v>
      </c>
      <c r="G138">
        <v>4</v>
      </c>
      <c r="H138">
        <v>3.6</v>
      </c>
      <c r="I138">
        <f>_xlfn.XLOOKUP(A138,'[1]Заказ SELLS'!$A:$A,'[1]Заказ SELLS'!$D:$D,0,0)</f>
        <v>4</v>
      </c>
      <c r="J138" t="s">
        <v>296</v>
      </c>
    </row>
    <row r="139" spans="1:10" x14ac:dyDescent="0.3">
      <c r="A139" t="s">
        <v>311</v>
      </c>
      <c r="B139" t="s">
        <v>312</v>
      </c>
      <c r="C139" t="s">
        <v>295</v>
      </c>
      <c r="D139" t="s">
        <v>13</v>
      </c>
      <c r="E139" t="s">
        <v>14</v>
      </c>
      <c r="F139" t="s">
        <v>15</v>
      </c>
      <c r="G139">
        <v>1</v>
      </c>
      <c r="H139">
        <v>0.1</v>
      </c>
      <c r="I139">
        <f>_xlfn.XLOOKUP(A139,'[1]Заказ SELLS'!$A:$A,'[1]Заказ SELLS'!$D:$D,0,0)</f>
        <v>1</v>
      </c>
      <c r="J139" t="s">
        <v>296</v>
      </c>
    </row>
    <row r="140" spans="1:10" x14ac:dyDescent="0.3">
      <c r="A140" t="s">
        <v>313</v>
      </c>
      <c r="B140" t="s">
        <v>314</v>
      </c>
      <c r="C140" t="s">
        <v>295</v>
      </c>
      <c r="D140" t="s">
        <v>13</v>
      </c>
      <c r="E140" t="s">
        <v>14</v>
      </c>
      <c r="F140" t="s">
        <v>15</v>
      </c>
      <c r="G140">
        <v>1</v>
      </c>
      <c r="H140">
        <v>0.2</v>
      </c>
      <c r="I140">
        <f>_xlfn.XLOOKUP(A140,'[1]Заказ SELLS'!$A:$A,'[1]Заказ SELLS'!$D:$D,0,0)</f>
        <v>1</v>
      </c>
      <c r="J140" t="s">
        <v>296</v>
      </c>
    </row>
    <row r="141" spans="1:10" x14ac:dyDescent="0.3">
      <c r="A141" t="s">
        <v>315</v>
      </c>
      <c r="B141" t="s">
        <v>316</v>
      </c>
      <c r="C141" t="s">
        <v>295</v>
      </c>
      <c r="D141" t="s">
        <v>13</v>
      </c>
      <c r="E141" t="s">
        <v>14</v>
      </c>
      <c r="F141" t="s">
        <v>15</v>
      </c>
      <c r="G141">
        <v>1</v>
      </c>
      <c r="H141">
        <v>0.1</v>
      </c>
      <c r="I141">
        <f>_xlfn.XLOOKUP(A141,'[1]Заказ SELLS'!$A:$A,'[1]Заказ SELLS'!$D:$D,0,0)</f>
        <v>1</v>
      </c>
      <c r="J141" t="s">
        <v>296</v>
      </c>
    </row>
    <row r="142" spans="1:10" x14ac:dyDescent="0.3">
      <c r="A142" t="s">
        <v>317</v>
      </c>
      <c r="B142" t="s">
        <v>318</v>
      </c>
      <c r="C142" t="s">
        <v>295</v>
      </c>
      <c r="D142" t="s">
        <v>13</v>
      </c>
      <c r="E142" t="s">
        <v>14</v>
      </c>
      <c r="F142" t="s">
        <v>15</v>
      </c>
      <c r="G142">
        <v>2</v>
      </c>
      <c r="H142">
        <v>1.2</v>
      </c>
      <c r="I142">
        <f>_xlfn.XLOOKUP(A142,'[1]Заказ SELLS'!$A:$A,'[1]Заказ SELLS'!$D:$D,0,0)</f>
        <v>2</v>
      </c>
      <c r="J142" t="s">
        <v>296</v>
      </c>
    </row>
    <row r="143" spans="1:10" x14ac:dyDescent="0.3">
      <c r="A143" t="s">
        <v>319</v>
      </c>
      <c r="B143" t="s">
        <v>320</v>
      </c>
      <c r="C143" t="s">
        <v>295</v>
      </c>
      <c r="D143" t="s">
        <v>13</v>
      </c>
      <c r="E143" t="s">
        <v>14</v>
      </c>
      <c r="F143" t="s">
        <v>15</v>
      </c>
      <c r="G143">
        <v>1</v>
      </c>
      <c r="H143">
        <v>0.2</v>
      </c>
      <c r="I143">
        <f>_xlfn.XLOOKUP(A143,'[1]Заказ SELLS'!$A:$A,'[1]Заказ SELLS'!$D:$D,0,0)</f>
        <v>1</v>
      </c>
      <c r="J143" t="s">
        <v>296</v>
      </c>
    </row>
    <row r="144" spans="1:10" x14ac:dyDescent="0.3">
      <c r="A144" t="s">
        <v>321</v>
      </c>
      <c r="B144" t="s">
        <v>322</v>
      </c>
      <c r="C144" t="s">
        <v>295</v>
      </c>
      <c r="D144" t="s">
        <v>13</v>
      </c>
      <c r="E144" t="s">
        <v>14</v>
      </c>
      <c r="F144" t="s">
        <v>15</v>
      </c>
      <c r="G144">
        <v>1</v>
      </c>
      <c r="H144">
        <v>0.2</v>
      </c>
      <c r="I144">
        <f>_xlfn.XLOOKUP(A144,'[1]Заказ SELLS'!$A:$A,'[1]Заказ SELLS'!$D:$D,0,0)</f>
        <v>0</v>
      </c>
      <c r="J144" t="s">
        <v>296</v>
      </c>
    </row>
    <row r="145" spans="1:10" x14ac:dyDescent="0.3">
      <c r="A145" t="s">
        <v>323</v>
      </c>
      <c r="B145" t="s">
        <v>324</v>
      </c>
      <c r="C145" t="s">
        <v>295</v>
      </c>
      <c r="D145" t="s">
        <v>13</v>
      </c>
      <c r="E145" t="s">
        <v>14</v>
      </c>
      <c r="F145" t="s">
        <v>15</v>
      </c>
      <c r="G145">
        <v>1</v>
      </c>
      <c r="H145">
        <v>0.2</v>
      </c>
      <c r="I145">
        <f>_xlfn.XLOOKUP(A145,'[1]Заказ SELLS'!$A:$A,'[1]Заказ SELLS'!$D:$D,0,0)</f>
        <v>1</v>
      </c>
      <c r="J145" t="s">
        <v>296</v>
      </c>
    </row>
    <row r="146" spans="1:10" x14ac:dyDescent="0.3">
      <c r="A146" t="s">
        <v>325</v>
      </c>
      <c r="B146" t="s">
        <v>326</v>
      </c>
      <c r="C146" t="s">
        <v>295</v>
      </c>
      <c r="D146" t="s">
        <v>13</v>
      </c>
      <c r="E146" t="s">
        <v>14</v>
      </c>
      <c r="F146" t="s">
        <v>15</v>
      </c>
      <c r="G146">
        <v>2</v>
      </c>
      <c r="H146">
        <v>1.1000000000000001</v>
      </c>
      <c r="I146">
        <f>_xlfn.XLOOKUP(A146,'[1]Заказ SELLS'!$A:$A,'[1]Заказ SELLS'!$D:$D,0,0)</f>
        <v>0</v>
      </c>
      <c r="J146" t="s">
        <v>296</v>
      </c>
    </row>
    <row r="147" spans="1:10" x14ac:dyDescent="0.3">
      <c r="A147" t="s">
        <v>327</v>
      </c>
      <c r="B147" t="s">
        <v>328</v>
      </c>
      <c r="C147" t="s">
        <v>295</v>
      </c>
      <c r="D147" t="s">
        <v>13</v>
      </c>
      <c r="E147" t="s">
        <v>14</v>
      </c>
      <c r="F147" t="s">
        <v>15</v>
      </c>
      <c r="G147">
        <v>1</v>
      </c>
      <c r="H147">
        <v>0.1</v>
      </c>
      <c r="I147">
        <f>_xlfn.XLOOKUP(A147,'[1]Заказ SELLS'!$A:$A,'[1]Заказ SELLS'!$D:$D,0,0)</f>
        <v>0</v>
      </c>
      <c r="J147" t="s">
        <v>296</v>
      </c>
    </row>
    <row r="148" spans="1:10" x14ac:dyDescent="0.3">
      <c r="A148" t="s">
        <v>329</v>
      </c>
      <c r="B148" t="s">
        <v>330</v>
      </c>
      <c r="C148" t="s">
        <v>295</v>
      </c>
      <c r="D148" t="s">
        <v>13</v>
      </c>
      <c r="E148" t="s">
        <v>14</v>
      </c>
      <c r="F148" t="s">
        <v>15</v>
      </c>
      <c r="G148">
        <v>1</v>
      </c>
      <c r="H148">
        <v>0.1</v>
      </c>
      <c r="I148">
        <f>_xlfn.XLOOKUP(A148,'[1]Заказ SELLS'!$A:$A,'[1]Заказ SELLS'!$D:$D,0,0)</f>
        <v>0</v>
      </c>
      <c r="J148" t="s">
        <v>296</v>
      </c>
    </row>
    <row r="149" spans="1:10" x14ac:dyDescent="0.3">
      <c r="A149" t="s">
        <v>331</v>
      </c>
      <c r="B149" t="s">
        <v>332</v>
      </c>
      <c r="C149" t="s">
        <v>295</v>
      </c>
      <c r="D149" t="s">
        <v>13</v>
      </c>
      <c r="E149" t="s">
        <v>14</v>
      </c>
      <c r="F149" t="s">
        <v>15</v>
      </c>
      <c r="G149">
        <v>2</v>
      </c>
      <c r="H149">
        <v>1.1000000000000001</v>
      </c>
      <c r="I149">
        <f>_xlfn.XLOOKUP(A149,'[1]Заказ SELLS'!$A:$A,'[1]Заказ SELLS'!$D:$D,0,0)</f>
        <v>0</v>
      </c>
      <c r="J149" t="s">
        <v>296</v>
      </c>
    </row>
    <row r="150" spans="1:10" x14ac:dyDescent="0.3">
      <c r="A150" t="s">
        <v>333</v>
      </c>
      <c r="B150" t="s">
        <v>334</v>
      </c>
      <c r="C150" t="s">
        <v>295</v>
      </c>
      <c r="D150" t="s">
        <v>13</v>
      </c>
      <c r="E150" t="s">
        <v>14</v>
      </c>
      <c r="F150" t="s">
        <v>15</v>
      </c>
      <c r="G150">
        <v>3</v>
      </c>
      <c r="H150">
        <v>2.7</v>
      </c>
      <c r="I150">
        <f>_xlfn.XLOOKUP(A150,'[1]Заказ SELLS'!$A:$A,'[1]Заказ SELLS'!$D:$D,0,0)</f>
        <v>3</v>
      </c>
      <c r="J150" t="s">
        <v>296</v>
      </c>
    </row>
    <row r="151" spans="1:10" x14ac:dyDescent="0.3">
      <c r="A151" t="s">
        <v>335</v>
      </c>
      <c r="B151" t="s">
        <v>336</v>
      </c>
      <c r="C151" t="s">
        <v>295</v>
      </c>
      <c r="D151" t="s">
        <v>13</v>
      </c>
      <c r="E151" t="s">
        <v>14</v>
      </c>
      <c r="F151" t="s">
        <v>15</v>
      </c>
      <c r="G151">
        <v>1</v>
      </c>
      <c r="H151">
        <v>0.1</v>
      </c>
      <c r="I151">
        <f>_xlfn.XLOOKUP(A151,'[1]Заказ SELLS'!$A:$A,'[1]Заказ SELLS'!$D:$D,0,0)</f>
        <v>1</v>
      </c>
      <c r="J151" t="s">
        <v>296</v>
      </c>
    </row>
    <row r="152" spans="1:10" x14ac:dyDescent="0.3">
      <c r="A152" t="s">
        <v>337</v>
      </c>
      <c r="B152" t="s">
        <v>338</v>
      </c>
      <c r="C152" t="s">
        <v>295</v>
      </c>
      <c r="D152" t="s">
        <v>13</v>
      </c>
      <c r="E152" t="s">
        <v>14</v>
      </c>
      <c r="F152" t="s">
        <v>15</v>
      </c>
      <c r="G152">
        <v>1</v>
      </c>
      <c r="H152">
        <v>0.2</v>
      </c>
      <c r="I152">
        <f>_xlfn.XLOOKUP(A152,'[1]Заказ SELLS'!$A:$A,'[1]Заказ SELLS'!$D:$D,0,0)</f>
        <v>0</v>
      </c>
      <c r="J152" t="s">
        <v>296</v>
      </c>
    </row>
    <row r="153" spans="1:10" x14ac:dyDescent="0.3">
      <c r="A153" t="s">
        <v>339</v>
      </c>
      <c r="B153" t="s">
        <v>340</v>
      </c>
      <c r="C153" t="s">
        <v>295</v>
      </c>
      <c r="D153" t="s">
        <v>13</v>
      </c>
      <c r="E153" t="s">
        <v>14</v>
      </c>
      <c r="F153" t="s">
        <v>15</v>
      </c>
      <c r="G153">
        <v>1</v>
      </c>
      <c r="H153">
        <v>0.2</v>
      </c>
      <c r="I153">
        <f>_xlfn.XLOOKUP(A153,'[1]Заказ SELLS'!$A:$A,'[1]Заказ SELLS'!$D:$D,0,0)</f>
        <v>0</v>
      </c>
      <c r="J153" t="s">
        <v>296</v>
      </c>
    </row>
    <row r="154" spans="1:10" x14ac:dyDescent="0.3">
      <c r="A154" t="s">
        <v>341</v>
      </c>
      <c r="B154" t="s">
        <v>342</v>
      </c>
      <c r="C154" t="s">
        <v>295</v>
      </c>
      <c r="D154" t="s">
        <v>13</v>
      </c>
      <c r="E154" t="s">
        <v>14</v>
      </c>
      <c r="F154" t="s">
        <v>15</v>
      </c>
      <c r="G154">
        <v>2</v>
      </c>
      <c r="H154">
        <v>1.1000000000000001</v>
      </c>
      <c r="I154">
        <f>_xlfn.XLOOKUP(A154,'[1]Заказ SELLS'!$A:$A,'[1]Заказ SELLS'!$D:$D,0,0)</f>
        <v>0</v>
      </c>
      <c r="J154" t="s">
        <v>296</v>
      </c>
    </row>
    <row r="155" spans="1:10" x14ac:dyDescent="0.3">
      <c r="A155" t="s">
        <v>343</v>
      </c>
      <c r="B155" t="s">
        <v>344</v>
      </c>
      <c r="C155" t="s">
        <v>295</v>
      </c>
      <c r="D155" t="s">
        <v>13</v>
      </c>
      <c r="E155" t="s">
        <v>14</v>
      </c>
      <c r="F155" t="s">
        <v>15</v>
      </c>
      <c r="G155">
        <v>7</v>
      </c>
      <c r="H155">
        <v>6.6</v>
      </c>
      <c r="I155">
        <f>_xlfn.XLOOKUP(A155,'[1]Заказ SELLS'!$A:$A,'[1]Заказ SELLS'!$D:$D,0,0)</f>
        <v>8</v>
      </c>
      <c r="J155" t="s">
        <v>296</v>
      </c>
    </row>
    <row r="156" spans="1:10" x14ac:dyDescent="0.3">
      <c r="A156" t="s">
        <v>345</v>
      </c>
      <c r="B156" t="s">
        <v>346</v>
      </c>
      <c r="C156" t="s">
        <v>295</v>
      </c>
      <c r="D156" t="s">
        <v>13</v>
      </c>
      <c r="E156" t="s">
        <v>14</v>
      </c>
      <c r="F156" t="s">
        <v>15</v>
      </c>
      <c r="G156">
        <v>1</v>
      </c>
      <c r="H156">
        <v>0.1</v>
      </c>
      <c r="I156">
        <f>_xlfn.XLOOKUP(A156,'[1]Заказ SELLS'!$A:$A,'[1]Заказ SELLS'!$D:$D,0,0)</f>
        <v>0</v>
      </c>
      <c r="J156" t="s">
        <v>296</v>
      </c>
    </row>
    <row r="157" spans="1:10" x14ac:dyDescent="0.3">
      <c r="A157" t="s">
        <v>347</v>
      </c>
      <c r="B157" t="s">
        <v>348</v>
      </c>
      <c r="C157" t="s">
        <v>295</v>
      </c>
      <c r="D157" t="s">
        <v>13</v>
      </c>
      <c r="E157" t="s">
        <v>14</v>
      </c>
      <c r="F157" t="s">
        <v>15</v>
      </c>
      <c r="G157">
        <v>3</v>
      </c>
      <c r="H157">
        <v>2.2000000000000002</v>
      </c>
      <c r="I157">
        <f>_xlfn.XLOOKUP(A157,'[1]Заказ SELLS'!$A:$A,'[1]Заказ SELLS'!$D:$D,0,0)</f>
        <v>0</v>
      </c>
      <c r="J157" t="s">
        <v>296</v>
      </c>
    </row>
    <row r="158" spans="1:10" x14ac:dyDescent="0.3">
      <c r="A158" t="s">
        <v>349</v>
      </c>
      <c r="B158" t="s">
        <v>350</v>
      </c>
      <c r="C158" t="s">
        <v>295</v>
      </c>
      <c r="D158" t="s">
        <v>13</v>
      </c>
      <c r="E158" t="s">
        <v>14</v>
      </c>
      <c r="F158" t="s">
        <v>15</v>
      </c>
      <c r="G158">
        <v>1</v>
      </c>
      <c r="H158">
        <v>0.2</v>
      </c>
      <c r="I158">
        <f>_xlfn.XLOOKUP(A158,'[1]Заказ SELLS'!$A:$A,'[1]Заказ SELLS'!$D:$D,0,0)</f>
        <v>0</v>
      </c>
      <c r="J158" t="s">
        <v>296</v>
      </c>
    </row>
    <row r="159" spans="1:10" x14ac:dyDescent="0.3">
      <c r="A159" t="s">
        <v>351</v>
      </c>
      <c r="B159" t="s">
        <v>352</v>
      </c>
      <c r="C159" t="s">
        <v>295</v>
      </c>
      <c r="D159" t="s">
        <v>13</v>
      </c>
      <c r="E159" t="s">
        <v>14</v>
      </c>
      <c r="F159" t="s">
        <v>15</v>
      </c>
      <c r="G159">
        <v>1</v>
      </c>
      <c r="H159">
        <v>0.2</v>
      </c>
      <c r="I159">
        <f>_xlfn.XLOOKUP(A159,'[1]Заказ SELLS'!$A:$A,'[1]Заказ SELLS'!$D:$D,0,0)</f>
        <v>2</v>
      </c>
      <c r="J159" t="s">
        <v>296</v>
      </c>
    </row>
    <row r="160" spans="1:10" x14ac:dyDescent="0.3">
      <c r="A160" t="s">
        <v>353</v>
      </c>
      <c r="B160" t="s">
        <v>354</v>
      </c>
      <c r="C160" t="s">
        <v>295</v>
      </c>
      <c r="D160" t="s">
        <v>13</v>
      </c>
      <c r="E160" t="s">
        <v>14</v>
      </c>
      <c r="F160" t="s">
        <v>15</v>
      </c>
      <c r="G160">
        <v>5</v>
      </c>
      <c r="H160">
        <v>5</v>
      </c>
      <c r="I160">
        <f>_xlfn.XLOOKUP(A160,'[1]Заказ SELLS'!$A:$A,'[1]Заказ SELLS'!$D:$D,0,0)</f>
        <v>6</v>
      </c>
      <c r="J160" t="s">
        <v>296</v>
      </c>
    </row>
    <row r="161" spans="1:10" x14ac:dyDescent="0.3">
      <c r="A161" t="s">
        <v>355</v>
      </c>
      <c r="B161" t="s">
        <v>356</v>
      </c>
      <c r="C161" t="s">
        <v>357</v>
      </c>
      <c r="D161" t="s">
        <v>13</v>
      </c>
      <c r="E161" t="s">
        <v>14</v>
      </c>
      <c r="F161" t="s">
        <v>15</v>
      </c>
      <c r="G161">
        <v>2</v>
      </c>
      <c r="H161">
        <v>1.2</v>
      </c>
      <c r="I161">
        <f>_xlfn.XLOOKUP(A161,'[1]Заказ SELLS'!$A:$A,'[1]Заказ SELLS'!$D:$D,0,0)</f>
        <v>2</v>
      </c>
      <c r="J161" t="s">
        <v>296</v>
      </c>
    </row>
    <row r="162" spans="1:10" x14ac:dyDescent="0.3">
      <c r="A162" t="s">
        <v>358</v>
      </c>
      <c r="B162" t="s">
        <v>359</v>
      </c>
      <c r="C162" t="s">
        <v>357</v>
      </c>
      <c r="D162" t="s">
        <v>13</v>
      </c>
      <c r="E162" t="s">
        <v>14</v>
      </c>
      <c r="F162" t="s">
        <v>15</v>
      </c>
      <c r="G162">
        <v>1</v>
      </c>
      <c r="H162">
        <v>0.1</v>
      </c>
      <c r="I162">
        <f>_xlfn.XLOOKUP(A162,'[1]Заказ SELLS'!$A:$A,'[1]Заказ SELLS'!$D:$D,0,0)</f>
        <v>0</v>
      </c>
      <c r="J162" t="s">
        <v>296</v>
      </c>
    </row>
    <row r="163" spans="1:10" x14ac:dyDescent="0.3">
      <c r="A163" t="s">
        <v>360</v>
      </c>
      <c r="B163" t="s">
        <v>361</v>
      </c>
      <c r="C163" t="s">
        <v>357</v>
      </c>
      <c r="D163" t="s">
        <v>13</v>
      </c>
      <c r="E163" t="s">
        <v>14</v>
      </c>
      <c r="F163" t="s">
        <v>15</v>
      </c>
      <c r="G163">
        <v>1</v>
      </c>
      <c r="H163">
        <v>0.1</v>
      </c>
      <c r="I163">
        <f>_xlfn.XLOOKUP(A163,'[1]Заказ SELLS'!$A:$A,'[1]Заказ SELLS'!$D:$D,0,0)</f>
        <v>0</v>
      </c>
      <c r="J163" t="s">
        <v>296</v>
      </c>
    </row>
    <row r="164" spans="1:10" x14ac:dyDescent="0.3">
      <c r="A164" t="s">
        <v>362</v>
      </c>
      <c r="B164" t="s">
        <v>363</v>
      </c>
      <c r="C164" t="s">
        <v>357</v>
      </c>
      <c r="D164" t="s">
        <v>13</v>
      </c>
      <c r="E164" t="s">
        <v>14</v>
      </c>
      <c r="F164" t="s">
        <v>15</v>
      </c>
      <c r="G164">
        <v>1</v>
      </c>
      <c r="H164">
        <v>0.2</v>
      </c>
      <c r="I164">
        <f>_xlfn.XLOOKUP(A164,'[1]Заказ SELLS'!$A:$A,'[1]Заказ SELLS'!$D:$D,0,0)</f>
        <v>1</v>
      </c>
      <c r="J164" t="s">
        <v>296</v>
      </c>
    </row>
    <row r="165" spans="1:10" x14ac:dyDescent="0.3">
      <c r="A165" t="s">
        <v>364</v>
      </c>
      <c r="B165" t="s">
        <v>365</v>
      </c>
      <c r="C165" t="s">
        <v>357</v>
      </c>
      <c r="D165" t="s">
        <v>13</v>
      </c>
      <c r="E165" t="s">
        <v>14</v>
      </c>
      <c r="F165" t="s">
        <v>15</v>
      </c>
      <c r="G165">
        <v>1</v>
      </c>
      <c r="H165">
        <v>0.2</v>
      </c>
      <c r="I165">
        <f>_xlfn.XLOOKUP(A165,'[1]Заказ SELLS'!$A:$A,'[1]Заказ SELLS'!$D:$D,0,0)</f>
        <v>1</v>
      </c>
      <c r="J165" t="s">
        <v>296</v>
      </c>
    </row>
    <row r="166" spans="1:10" x14ac:dyDescent="0.3">
      <c r="A166" t="s">
        <v>366</v>
      </c>
      <c r="B166" t="s">
        <v>367</v>
      </c>
      <c r="C166" t="s">
        <v>357</v>
      </c>
      <c r="D166" t="s">
        <v>13</v>
      </c>
      <c r="E166" t="s">
        <v>14</v>
      </c>
      <c r="F166" t="s">
        <v>15</v>
      </c>
      <c r="G166">
        <v>1</v>
      </c>
      <c r="H166">
        <v>0.3</v>
      </c>
      <c r="I166">
        <f>_xlfn.XLOOKUP(A166,'[1]Заказ SELLS'!$A:$A,'[1]Заказ SELLS'!$D:$D,0,0)</f>
        <v>1</v>
      </c>
      <c r="J166" t="s">
        <v>296</v>
      </c>
    </row>
    <row r="167" spans="1:10" x14ac:dyDescent="0.3">
      <c r="A167" t="s">
        <v>368</v>
      </c>
      <c r="B167" t="s">
        <v>369</v>
      </c>
      <c r="C167" t="s">
        <v>357</v>
      </c>
      <c r="D167" t="s">
        <v>13</v>
      </c>
      <c r="E167" t="s">
        <v>14</v>
      </c>
      <c r="F167" t="s">
        <v>15</v>
      </c>
      <c r="G167">
        <v>2</v>
      </c>
      <c r="H167">
        <v>1.2</v>
      </c>
      <c r="I167">
        <f>_xlfn.XLOOKUP(A167,'[1]Заказ SELLS'!$A:$A,'[1]Заказ SELLS'!$D:$D,0,0)</f>
        <v>2</v>
      </c>
      <c r="J167" t="s">
        <v>296</v>
      </c>
    </row>
    <row r="168" spans="1:10" x14ac:dyDescent="0.3">
      <c r="A168" t="s">
        <v>370</v>
      </c>
      <c r="B168" t="s">
        <v>371</v>
      </c>
      <c r="C168" t="s">
        <v>372</v>
      </c>
      <c r="D168" t="s">
        <v>13</v>
      </c>
      <c r="E168" t="s">
        <v>14</v>
      </c>
      <c r="F168" t="s">
        <v>15</v>
      </c>
      <c r="G168">
        <v>5</v>
      </c>
      <c r="H168">
        <v>4.0599999999999996</v>
      </c>
      <c r="I168">
        <f>_xlfn.XLOOKUP(A168,'[1]Заказ SELLS'!$A:$A,'[1]Заказ SELLS'!$D:$D,0,0)</f>
        <v>5</v>
      </c>
      <c r="J168" t="s">
        <v>296</v>
      </c>
    </row>
    <row r="169" spans="1:10" x14ac:dyDescent="0.3">
      <c r="A169" t="s">
        <v>373</v>
      </c>
      <c r="B169" t="s">
        <v>374</v>
      </c>
      <c r="C169" t="s">
        <v>372</v>
      </c>
      <c r="D169" t="s">
        <v>13</v>
      </c>
      <c r="E169" t="s">
        <v>14</v>
      </c>
      <c r="F169" t="s">
        <v>15</v>
      </c>
      <c r="G169">
        <v>3</v>
      </c>
      <c r="H169">
        <v>2.04</v>
      </c>
      <c r="I169">
        <f>_xlfn.XLOOKUP(A169,'[1]Заказ SELLS'!$A:$A,'[1]Заказ SELLS'!$D:$D,0,0)</f>
        <v>3</v>
      </c>
      <c r="J169" t="s">
        <v>296</v>
      </c>
    </row>
    <row r="170" spans="1:10" x14ac:dyDescent="0.3">
      <c r="A170" t="s">
        <v>375</v>
      </c>
      <c r="B170" t="s">
        <v>376</v>
      </c>
      <c r="C170" t="s">
        <v>372</v>
      </c>
      <c r="D170" t="s">
        <v>13</v>
      </c>
      <c r="E170" t="s">
        <v>14</v>
      </c>
      <c r="F170" t="s">
        <v>15</v>
      </c>
      <c r="G170">
        <v>1</v>
      </c>
      <c r="H170">
        <v>0.26</v>
      </c>
      <c r="I170">
        <f>_xlfn.XLOOKUP(A170,'[1]Заказ SELLS'!$A:$A,'[1]Заказ SELLS'!$D:$D,0,0)</f>
        <v>1</v>
      </c>
      <c r="J170" t="s">
        <v>296</v>
      </c>
    </row>
    <row r="171" spans="1:10" x14ac:dyDescent="0.3">
      <c r="A171" t="s">
        <v>377</v>
      </c>
      <c r="B171" t="s">
        <v>378</v>
      </c>
      <c r="C171" t="s">
        <v>372</v>
      </c>
      <c r="D171" t="s">
        <v>13</v>
      </c>
      <c r="E171" t="s">
        <v>14</v>
      </c>
      <c r="F171" t="s">
        <v>15</v>
      </c>
      <c r="G171">
        <v>1</v>
      </c>
      <c r="H171">
        <v>0.26</v>
      </c>
      <c r="I171">
        <f>_xlfn.XLOOKUP(A171,'[1]Заказ SELLS'!$A:$A,'[1]Заказ SELLS'!$D:$D,0,0)</f>
        <v>1</v>
      </c>
      <c r="J171" t="s">
        <v>296</v>
      </c>
    </row>
    <row r="172" spans="1:10" x14ac:dyDescent="0.3">
      <c r="A172" t="s">
        <v>379</v>
      </c>
      <c r="B172" t="s">
        <v>380</v>
      </c>
      <c r="C172" t="s">
        <v>372</v>
      </c>
      <c r="D172" t="s">
        <v>13</v>
      </c>
      <c r="E172" t="s">
        <v>14</v>
      </c>
      <c r="F172" t="s">
        <v>15</v>
      </c>
      <c r="G172">
        <v>1</v>
      </c>
      <c r="H172">
        <v>0.01</v>
      </c>
      <c r="I172">
        <f>_xlfn.XLOOKUP(A172,'[1]Заказ SELLS'!$A:$A,'[1]Заказ SELLS'!$D:$D,0,0)</f>
        <v>1</v>
      </c>
      <c r="J172" t="s">
        <v>296</v>
      </c>
    </row>
    <row r="173" spans="1:10" x14ac:dyDescent="0.3">
      <c r="A173" t="s">
        <v>381</v>
      </c>
      <c r="B173" t="s">
        <v>382</v>
      </c>
      <c r="C173" t="s">
        <v>372</v>
      </c>
      <c r="D173" t="s">
        <v>13</v>
      </c>
      <c r="E173" t="s">
        <v>14</v>
      </c>
      <c r="F173" t="s">
        <v>15</v>
      </c>
      <c r="G173">
        <v>2</v>
      </c>
      <c r="H173">
        <v>1.54</v>
      </c>
      <c r="I173">
        <f>_xlfn.XLOOKUP(A173,'[1]Заказ SELLS'!$A:$A,'[1]Заказ SELLS'!$D:$D,0,0)</f>
        <v>2</v>
      </c>
      <c r="J173" t="s">
        <v>296</v>
      </c>
    </row>
    <row r="174" spans="1:10" x14ac:dyDescent="0.3">
      <c r="A174" t="s">
        <v>383</v>
      </c>
      <c r="B174" t="s">
        <v>384</v>
      </c>
      <c r="C174" t="s">
        <v>372</v>
      </c>
      <c r="D174" t="s">
        <v>13</v>
      </c>
      <c r="E174" t="s">
        <v>14</v>
      </c>
      <c r="F174" t="s">
        <v>15</v>
      </c>
      <c r="G174">
        <v>1</v>
      </c>
      <c r="H174">
        <v>0.01</v>
      </c>
      <c r="I174">
        <f>_xlfn.XLOOKUP(A174,'[1]Заказ SELLS'!$A:$A,'[1]Заказ SELLS'!$D:$D,0,0)</f>
        <v>1</v>
      </c>
      <c r="J174" t="s">
        <v>296</v>
      </c>
    </row>
    <row r="175" spans="1:10" x14ac:dyDescent="0.3">
      <c r="A175" t="s">
        <v>385</v>
      </c>
      <c r="B175" t="s">
        <v>386</v>
      </c>
      <c r="C175" t="s">
        <v>372</v>
      </c>
      <c r="D175" t="s">
        <v>13</v>
      </c>
      <c r="E175" t="s">
        <v>14</v>
      </c>
      <c r="F175" t="s">
        <v>15</v>
      </c>
      <c r="G175">
        <v>1</v>
      </c>
      <c r="H175">
        <v>0.01</v>
      </c>
      <c r="I175">
        <f>_xlfn.XLOOKUP(A175,'[1]Заказ SELLS'!$A:$A,'[1]Заказ SELLS'!$D:$D,0,0)</f>
        <v>1</v>
      </c>
      <c r="J175" t="s">
        <v>296</v>
      </c>
    </row>
    <row r="176" spans="1:10" x14ac:dyDescent="0.3">
      <c r="A176" t="s">
        <v>387</v>
      </c>
      <c r="B176" t="s">
        <v>388</v>
      </c>
      <c r="C176" t="s">
        <v>372</v>
      </c>
      <c r="D176" t="s">
        <v>13</v>
      </c>
      <c r="E176" t="s">
        <v>14</v>
      </c>
      <c r="F176" t="s">
        <v>15</v>
      </c>
      <c r="G176">
        <v>3</v>
      </c>
      <c r="H176">
        <v>2.5299999999999998</v>
      </c>
      <c r="I176">
        <f>_xlfn.XLOOKUP(A176,'[1]Заказ SELLS'!$A:$A,'[1]Заказ SELLS'!$D:$D,0,0)</f>
        <v>3</v>
      </c>
      <c r="J176" t="s">
        <v>296</v>
      </c>
    </row>
    <row r="177" spans="1:10" x14ac:dyDescent="0.3">
      <c r="A177" t="s">
        <v>389</v>
      </c>
      <c r="B177" t="s">
        <v>390</v>
      </c>
      <c r="C177" t="s">
        <v>391</v>
      </c>
      <c r="D177" t="s">
        <v>13</v>
      </c>
      <c r="E177" t="s">
        <v>14</v>
      </c>
      <c r="F177" t="s">
        <v>15</v>
      </c>
      <c r="G177">
        <v>1</v>
      </c>
      <c r="H177">
        <v>1</v>
      </c>
      <c r="I177">
        <f>_xlfn.XLOOKUP(A177,'[1]Заказ SELLS'!$A:$A,'[1]Заказ SELLS'!$D:$D,0,0)</f>
        <v>0</v>
      </c>
      <c r="J177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SELLS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dcterms:created xsi:type="dcterms:W3CDTF">2026-02-27T13:32:12Z</dcterms:created>
  <dcterms:modified xsi:type="dcterms:W3CDTF">2026-02-27T13:33:33Z</dcterms:modified>
</cp:coreProperties>
</file>